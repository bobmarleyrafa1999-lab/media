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y log" sheetId="1" state="visible" r:id="rId1"/>
    <sheet xmlns:r="http://schemas.openxmlformats.org/officeDocument/2006/relationships" name="Sequence summary" sheetId="2" state="visible" r:id="rId2"/>
    <sheet xmlns:r="http://schemas.openxmlformats.org/officeDocument/2006/relationships" name="Weekly" sheetId="3" state="visible" r:id="rId3"/>
    <sheet xmlns:r="http://schemas.openxmlformats.org/officeDocument/2006/relationships" name="How to fi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3EFE7"/>
    </font>
  </fonts>
  <fills count="3">
    <fill>
      <patternFill/>
    </fill>
    <fill>
      <patternFill patternType="gray125"/>
    </fill>
    <fill>
      <patternFill patternType="solid">
        <fgColor rgb="001B1F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ref</t>
        </is>
      </c>
      <c r="D1" s="1" t="inlineStr">
        <is>
          <t>frame</t>
        </is>
      </c>
      <c r="E1" s="1" t="inlineStr">
        <is>
          <t>version (auto/hand)</t>
        </is>
      </c>
      <c r="F1" s="1" t="inlineStr">
        <is>
          <t>sticker</t>
        </is>
      </c>
      <c r="G1" s="1" t="inlineStr">
        <is>
          <t>reach</t>
        </is>
      </c>
      <c r="H1" s="1" t="inlineStr">
        <is>
          <t>views</t>
        </is>
      </c>
      <c r="I1" s="1" t="inlineStr">
        <is>
          <t>taps forward</t>
        </is>
      </c>
      <c r="J1" s="1" t="inlineStr">
        <is>
          <t>taps back</t>
        </is>
      </c>
      <c r="K1" s="1" t="inlineStr">
        <is>
          <t>exits</t>
        </is>
      </c>
      <c r="L1" s="1" t="inlineStr">
        <is>
          <t>next story</t>
        </is>
      </c>
      <c r="M1" s="1" t="inlineStr">
        <is>
          <t>replies (count in DMs)</t>
        </is>
      </c>
      <c r="N1" s="1" t="inlineStr">
        <is>
          <t>sticker taps (votes/answers)</t>
        </is>
      </c>
      <c r="O1" s="1" t="inlineStr">
        <is>
          <t>shares</t>
        </is>
      </c>
      <c r="P1" s="1" t="inlineStr">
        <is>
          <t>profile visits</t>
        </is>
      </c>
      <c r="Q1" s="1" t="inlineStr">
        <is>
          <t>follows</t>
        </is>
      </c>
      <c r="R1" s="1" t="inlineStr">
        <is>
          <t>exit rate</t>
        </is>
      </c>
      <c r="S1" s="1" t="inlineStr">
        <is>
          <t>replies per 100 reached</t>
        </is>
      </c>
      <c r="T1" s="1" t="inlineStr">
        <is>
          <t>votes per 100 reached</t>
        </is>
      </c>
      <c r="U1" s="1" t="inlineStr">
        <is>
          <t>notes</t>
        </is>
      </c>
    </row>
    <row r="2">
      <c r="A2" t="inlineStr">
        <is>
          <t>2026-11-08</t>
        </is>
      </c>
      <c r="B2" t="inlineStr">
        <is>
          <t>21:00</t>
        </is>
      </c>
      <c r="C2" t="inlineStr">
        <is>
          <t>S01</t>
        </is>
      </c>
      <c r="D2" t="n">
        <v>1</v>
      </c>
      <c r="E2" t="inlineStr"/>
      <c r="F2" t="inlineStr"/>
      <c r="R2" s="2">
        <f>IF(G2&gt;0,K2/G2,"")</f>
        <v/>
      </c>
      <c r="S2" s="3">
        <f>IF(G2&gt;0,M2/G2*100,"")</f>
        <v/>
      </c>
      <c r="T2" s="3">
        <f>IF(G2&gt;0,N2/G2*100,"")</f>
        <v/>
      </c>
    </row>
    <row r="3">
      <c r="A3" t="inlineStr">
        <is>
          <t>2026-11-08</t>
        </is>
      </c>
      <c r="B3" t="inlineStr">
        <is>
          <t>21:00</t>
        </is>
      </c>
      <c r="C3" t="inlineStr">
        <is>
          <t>S01</t>
        </is>
      </c>
      <c r="D3" t="n">
        <v>2</v>
      </c>
      <c r="E3" t="inlineStr"/>
      <c r="F3" t="inlineStr">
        <is>
          <t>Quiz sticker: A about half / B about a q</t>
        </is>
      </c>
      <c r="R3" s="2">
        <f>IF(G3&gt;0,K3/G3,"")</f>
        <v/>
      </c>
      <c r="S3" s="3">
        <f>IF(G3&gt;0,M3/G3*100,"")</f>
        <v/>
      </c>
      <c r="T3" s="3">
        <f>IF(G3&gt;0,N3/G3*100,"")</f>
        <v/>
      </c>
    </row>
    <row r="4">
      <c r="A4" t="inlineStr">
        <is>
          <t>2026-11-09</t>
        </is>
      </c>
      <c r="B4" t="inlineStr">
        <is>
          <t>09:00</t>
        </is>
      </c>
      <c r="C4" t="inlineStr">
        <is>
          <t>S01</t>
        </is>
      </c>
      <c r="D4" t="n">
        <v>3</v>
      </c>
      <c r="E4" t="inlineStr"/>
      <c r="F4" t="inlineStr"/>
      <c r="R4" s="2">
        <f>IF(G4&gt;0,K4/G4,"")</f>
        <v/>
      </c>
      <c r="S4" s="3">
        <f>IF(G4&gt;0,M4/G4*100,"")</f>
        <v/>
      </c>
      <c r="T4" s="3">
        <f>IF(G4&gt;0,N4/G4*100,"")</f>
        <v/>
      </c>
    </row>
    <row r="5">
      <c r="A5" t="inlineStr">
        <is>
          <t>2026-11-09</t>
        </is>
      </c>
      <c r="B5" t="inlineStr">
        <is>
          <t>09:00</t>
        </is>
      </c>
      <c r="C5" t="inlineStr">
        <is>
          <t>S01</t>
        </is>
      </c>
      <c r="D5" t="n">
        <v>4</v>
      </c>
      <c r="E5" t="inlineStr"/>
      <c r="F5" t="inlineStr"/>
      <c r="R5" s="2">
        <f>IF(G5&gt;0,K5/G5,"")</f>
        <v/>
      </c>
      <c r="S5" s="3">
        <f>IF(G5&gt;0,M5/G5*100,"")</f>
        <v/>
      </c>
      <c r="T5" s="3">
        <f>IF(G5&gt;0,N5/G5*100,"")</f>
        <v/>
      </c>
    </row>
    <row r="6">
      <c r="A6" t="inlineStr">
        <is>
          <t>2026-11-09</t>
        </is>
      </c>
      <c r="B6" t="inlineStr">
        <is>
          <t>21:00</t>
        </is>
      </c>
      <c r="C6" t="inlineStr">
        <is>
          <t>C28</t>
        </is>
      </c>
      <c r="D6" t="n">
        <v>1</v>
      </c>
      <c r="E6" t="inlineStr"/>
      <c r="F6" t="inlineStr">
        <is>
          <t>Slider: 🧠 this month → 🗿 never</t>
        </is>
      </c>
      <c r="R6" s="2">
        <f>IF(G6&gt;0,K6/G6,"")</f>
        <v/>
      </c>
      <c r="S6" s="3">
        <f>IF(G6&gt;0,M6/G6*100,"")</f>
        <v/>
      </c>
      <c r="T6" s="3">
        <f>IF(G6&gt;0,N6/G6*100,"")</f>
        <v/>
      </c>
    </row>
    <row r="7">
      <c r="A7" t="inlineStr">
        <is>
          <t>2026-11-09</t>
        </is>
      </c>
      <c r="B7" t="inlineStr">
        <is>
          <t>21:00</t>
        </is>
      </c>
      <c r="C7" t="inlineStr">
        <is>
          <t>C28</t>
        </is>
      </c>
      <c r="D7" t="n">
        <v>2</v>
      </c>
      <c r="E7" t="inlineStr"/>
      <c r="F7" t="inlineStr"/>
      <c r="R7" s="2">
        <f>IF(G7&gt;0,K7/G7,"")</f>
        <v/>
      </c>
      <c r="S7" s="3">
        <f>IF(G7&gt;0,M7/G7*100,"")</f>
        <v/>
      </c>
      <c r="T7" s="3">
        <f>IF(G7&gt;0,N7/G7*100,"")</f>
        <v/>
      </c>
    </row>
    <row r="8">
      <c r="A8" t="inlineStr">
        <is>
          <t>2026-11-10</t>
        </is>
      </c>
      <c r="B8" t="inlineStr">
        <is>
          <t>09:00</t>
        </is>
      </c>
      <c r="C8" t="inlineStr">
        <is>
          <t>C28</t>
        </is>
      </c>
      <c r="D8" t="n">
        <v>3</v>
      </c>
      <c r="E8" t="inlineStr"/>
      <c r="F8" t="inlineStr"/>
      <c r="R8" s="2">
        <f>IF(G8&gt;0,K8/G8,"")</f>
        <v/>
      </c>
      <c r="S8" s="3">
        <f>IF(G8&gt;0,M8/G8*100,"")</f>
        <v/>
      </c>
      <c r="T8" s="3">
        <f>IF(G8&gt;0,N8/G8*100,"")</f>
        <v/>
      </c>
    </row>
    <row r="9">
      <c r="A9" t="inlineStr">
        <is>
          <t>2026-11-10</t>
        </is>
      </c>
      <c r="B9" t="inlineStr">
        <is>
          <t>09:00</t>
        </is>
      </c>
      <c r="C9" t="inlineStr">
        <is>
          <t>C28</t>
        </is>
      </c>
      <c r="D9" t="n">
        <v>4</v>
      </c>
      <c r="E9" t="inlineStr"/>
      <c r="F9" t="inlineStr"/>
      <c r="R9" s="2">
        <f>IF(G9&gt;0,K9/G9,"")</f>
        <v/>
      </c>
      <c r="S9" s="3">
        <f>IF(G9&gt;0,M9/G9*100,"")</f>
        <v/>
      </c>
      <c r="T9" s="3">
        <f>IF(G9&gt;0,N9/G9*100,"")</f>
        <v/>
      </c>
    </row>
    <row r="10">
      <c r="A10" t="inlineStr">
        <is>
          <t>2026-11-10</t>
        </is>
      </c>
      <c r="B10" t="inlineStr">
        <is>
          <t>21:00</t>
        </is>
      </c>
      <c r="C10" t="inlineStr">
        <is>
          <t>S03</t>
        </is>
      </c>
      <c r="D10" t="n">
        <v>1</v>
      </c>
      <c r="E10" t="inlineStr"/>
      <c r="F10" t="inlineStr"/>
      <c r="R10" s="2">
        <f>IF(G10&gt;0,K10/G10,"")</f>
        <v/>
      </c>
      <c r="S10" s="3">
        <f>IF(G10&gt;0,M10/G10*100,"")</f>
        <v/>
      </c>
      <c r="T10" s="3">
        <f>IF(G10&gt;0,N10/G10*100,"")</f>
        <v/>
      </c>
    </row>
    <row r="11">
      <c r="A11" t="inlineStr">
        <is>
          <t>2026-11-10</t>
        </is>
      </c>
      <c r="B11" t="inlineStr">
        <is>
          <t>21:00</t>
        </is>
      </c>
      <c r="C11" t="inlineStr">
        <is>
          <t>S03</t>
        </is>
      </c>
      <c r="D11" t="n">
        <v>2</v>
      </c>
      <c r="E11" t="inlineStr"/>
      <c r="F11" t="inlineStr">
        <is>
          <t>Poll sticker: Look at the bird / Keep ty</t>
        </is>
      </c>
      <c r="R11" s="2">
        <f>IF(G11&gt;0,K11/G11,"")</f>
        <v/>
      </c>
      <c r="S11" s="3">
        <f>IF(G11&gt;0,M11/G11*100,"")</f>
        <v/>
      </c>
      <c r="T11" s="3">
        <f>IF(G11&gt;0,N11/G11*100,"")</f>
        <v/>
      </c>
    </row>
    <row r="12">
      <c r="A12" t="inlineStr">
        <is>
          <t>2026-11-11</t>
        </is>
      </c>
      <c r="B12" t="inlineStr">
        <is>
          <t>09:00</t>
        </is>
      </c>
      <c r="C12" t="inlineStr">
        <is>
          <t>S03</t>
        </is>
      </c>
      <c r="D12" t="n">
        <v>3</v>
      </c>
      <c r="E12" t="inlineStr"/>
      <c r="F12" t="inlineStr"/>
      <c r="R12" s="2">
        <f>IF(G12&gt;0,K12/G12,"")</f>
        <v/>
      </c>
      <c r="S12" s="3">
        <f>IF(G12&gt;0,M12/G12*100,"")</f>
        <v/>
      </c>
      <c r="T12" s="3">
        <f>IF(G12&gt;0,N12/G12*100,"")</f>
        <v/>
      </c>
    </row>
    <row r="13">
      <c r="A13" t="inlineStr">
        <is>
          <t>2026-11-11</t>
        </is>
      </c>
      <c r="B13" t="inlineStr">
        <is>
          <t>09:00</t>
        </is>
      </c>
      <c r="C13" t="inlineStr">
        <is>
          <t>S03</t>
        </is>
      </c>
      <c r="D13" t="n">
        <v>4</v>
      </c>
      <c r="E13" t="inlineStr"/>
      <c r="F13" t="inlineStr"/>
      <c r="R13" s="2">
        <f>IF(G13&gt;0,K13/G13,"")</f>
        <v/>
      </c>
      <c r="S13" s="3">
        <f>IF(G13&gt;0,M13/G13*100,"")</f>
        <v/>
      </c>
      <c r="T13" s="3">
        <f>IF(G13&gt;0,N13/G13*100,"")</f>
        <v/>
      </c>
    </row>
    <row r="14">
      <c r="A14" t="inlineStr">
        <is>
          <t>2026-11-11</t>
        </is>
      </c>
      <c r="B14" t="inlineStr">
        <is>
          <t>21:00</t>
        </is>
      </c>
      <c r="C14" t="inlineStr">
        <is>
          <t>S07</t>
        </is>
      </c>
      <c r="D14" t="n">
        <v>1</v>
      </c>
      <c r="E14" t="inlineStr"/>
      <c r="F14" t="inlineStr"/>
      <c r="R14" s="2">
        <f>IF(G14&gt;0,K14/G14,"")</f>
        <v/>
      </c>
      <c r="S14" s="3">
        <f>IF(G14&gt;0,M14/G14*100,"")</f>
        <v/>
      </c>
      <c r="T14" s="3">
        <f>IF(G14&gt;0,N14/G14*100,"")</f>
        <v/>
      </c>
    </row>
    <row r="15">
      <c r="A15" t="inlineStr">
        <is>
          <t>2026-11-11</t>
        </is>
      </c>
      <c r="B15" t="inlineStr">
        <is>
          <t>21:00</t>
        </is>
      </c>
      <c r="C15" t="inlineStr">
        <is>
          <t>S07</t>
        </is>
      </c>
      <c r="D15" t="n">
        <v>2</v>
      </c>
      <c r="E15" t="inlineStr"/>
      <c r="F15" t="inlineStr">
        <is>
          <t>Quiz sticker: A wash their hands / B ope</t>
        </is>
      </c>
      <c r="R15" s="2">
        <f>IF(G15&gt;0,K15/G15,"")</f>
        <v/>
      </c>
      <c r="S15" s="3">
        <f>IF(G15&gt;0,M15/G15*100,"")</f>
        <v/>
      </c>
      <c r="T15" s="3">
        <f>IF(G15&gt;0,N15/G15*100,"")</f>
        <v/>
      </c>
    </row>
    <row r="16">
      <c r="A16" t="inlineStr">
        <is>
          <t>2026-11-12</t>
        </is>
      </c>
      <c r="B16" t="inlineStr">
        <is>
          <t>09:00</t>
        </is>
      </c>
      <c r="C16" t="inlineStr">
        <is>
          <t>S07</t>
        </is>
      </c>
      <c r="D16" t="n">
        <v>3</v>
      </c>
      <c r="E16" t="inlineStr"/>
      <c r="F16" t="inlineStr"/>
      <c r="R16" s="2">
        <f>IF(G16&gt;0,K16/G16,"")</f>
        <v/>
      </c>
      <c r="S16" s="3">
        <f>IF(G16&gt;0,M16/G16*100,"")</f>
        <v/>
      </c>
      <c r="T16" s="3">
        <f>IF(G16&gt;0,N16/G16*100,"")</f>
        <v/>
      </c>
    </row>
    <row r="17">
      <c r="A17" t="inlineStr">
        <is>
          <t>2026-11-12</t>
        </is>
      </c>
      <c r="B17" t="inlineStr">
        <is>
          <t>09:00</t>
        </is>
      </c>
      <c r="C17" t="inlineStr">
        <is>
          <t>S07</t>
        </is>
      </c>
      <c r="D17" t="n">
        <v>4</v>
      </c>
      <c r="E17" t="inlineStr"/>
      <c r="F17" t="inlineStr">
        <is>
          <t>Question box</t>
        </is>
      </c>
      <c r="R17" s="2">
        <f>IF(G17&gt;0,K17/G17,"")</f>
        <v/>
      </c>
      <c r="S17" s="3">
        <f>IF(G17&gt;0,M17/G17*100,"")</f>
        <v/>
      </c>
      <c r="T17" s="3">
        <f>IF(G17&gt;0,N17/G17*100,"")</f>
        <v/>
      </c>
    </row>
    <row r="18">
      <c r="A18" t="inlineStr">
        <is>
          <t>2026-11-12</t>
        </is>
      </c>
      <c r="B18" t="inlineStr">
        <is>
          <t>21:00</t>
        </is>
      </c>
      <c r="C18" t="inlineStr">
        <is>
          <t>S02</t>
        </is>
      </c>
      <c r="D18" t="n">
        <v>1</v>
      </c>
      <c r="E18" t="inlineStr"/>
      <c r="F18" t="inlineStr"/>
      <c r="R18" s="2">
        <f>IF(G18&gt;0,K18/G18,"")</f>
        <v/>
      </c>
      <c r="S18" s="3">
        <f>IF(G18&gt;0,M18/G18*100,"")</f>
        <v/>
      </c>
      <c r="T18" s="3">
        <f>IF(G18&gt;0,N18/G18*100,"")</f>
        <v/>
      </c>
    </row>
    <row r="19">
      <c r="A19" t="inlineStr">
        <is>
          <t>2026-11-12</t>
        </is>
      </c>
      <c r="B19" t="inlineStr">
        <is>
          <t>21:00</t>
        </is>
      </c>
      <c r="C19" t="inlineStr">
        <is>
          <t>S02</t>
        </is>
      </c>
      <c r="D19" t="n">
        <v>2</v>
      </c>
      <c r="E19" t="inlineStr"/>
      <c r="F19" t="inlineStr">
        <is>
          <t>Poll sticker: Up to me / Not up to me.</t>
        </is>
      </c>
      <c r="R19" s="2">
        <f>IF(G19&gt;0,K19/G19,"")</f>
        <v/>
      </c>
      <c r="S19" s="3">
        <f>IF(G19&gt;0,M19/G19*100,"")</f>
        <v/>
      </c>
      <c r="T19" s="3">
        <f>IF(G19&gt;0,N19/G19*100,"")</f>
        <v/>
      </c>
    </row>
    <row r="20">
      <c r="A20" t="inlineStr">
        <is>
          <t>2026-11-13</t>
        </is>
      </c>
      <c r="B20" t="inlineStr">
        <is>
          <t>09:00</t>
        </is>
      </c>
      <c r="C20" t="inlineStr">
        <is>
          <t>S02</t>
        </is>
      </c>
      <c r="D20" t="n">
        <v>3</v>
      </c>
      <c r="E20" t="inlineStr"/>
      <c r="F20" t="inlineStr"/>
      <c r="R20" s="2">
        <f>IF(G20&gt;0,K20/G20,"")</f>
        <v/>
      </c>
      <c r="S20" s="3">
        <f>IF(G20&gt;0,M20/G20*100,"")</f>
        <v/>
      </c>
      <c r="T20" s="3">
        <f>IF(G20&gt;0,N20/G20*100,"")</f>
        <v/>
      </c>
    </row>
    <row r="21">
      <c r="A21" t="inlineStr">
        <is>
          <t>2026-11-13</t>
        </is>
      </c>
      <c r="B21" t="inlineStr">
        <is>
          <t>09:00</t>
        </is>
      </c>
      <c r="C21" t="inlineStr">
        <is>
          <t>S02</t>
        </is>
      </c>
      <c r="D21" t="n">
        <v>4</v>
      </c>
      <c r="E21" t="inlineStr"/>
      <c r="F21" t="inlineStr"/>
      <c r="R21" s="2">
        <f>IF(G21&gt;0,K21/G21,"")</f>
        <v/>
      </c>
      <c r="S21" s="3">
        <f>IF(G21&gt;0,M21/G21*100,"")</f>
        <v/>
      </c>
      <c r="T21" s="3">
        <f>IF(G21&gt;0,N21/G21*100,"")</f>
        <v/>
      </c>
    </row>
    <row r="22">
      <c r="A22" t="inlineStr">
        <is>
          <t>2026-11-13</t>
        </is>
      </c>
      <c r="B22" t="inlineStr">
        <is>
          <t>09:00</t>
        </is>
      </c>
      <c r="C22" t="inlineStr">
        <is>
          <t>S02</t>
        </is>
      </c>
      <c r="D22" t="n">
        <v>5</v>
      </c>
      <c r="E22" t="inlineStr"/>
      <c r="F22" t="inlineStr">
        <is>
          <t xml:space="preserve">Question box: 'The part that's up to me </t>
        </is>
      </c>
      <c r="R22" s="2">
        <f>IF(G22&gt;0,K22/G22,"")</f>
        <v/>
      </c>
      <c r="S22" s="3">
        <f>IF(G22&gt;0,M22/G22*100,"")</f>
        <v/>
      </c>
      <c r="T22" s="3">
        <f>IF(G22&gt;0,N22/G22*100,"")</f>
        <v/>
      </c>
    </row>
    <row r="23">
      <c r="A23" t="inlineStr">
        <is>
          <t>2026-11-13</t>
        </is>
      </c>
      <c r="B23" t="inlineStr">
        <is>
          <t>21:00</t>
        </is>
      </c>
      <c r="C23" t="inlineStr">
        <is>
          <t>X03</t>
        </is>
      </c>
      <c r="D23" t="n">
        <v>1</v>
      </c>
      <c r="E23" t="inlineStr"/>
      <c r="F23" t="inlineStr">
        <is>
          <t>Poll: History / Mind / Kindness</t>
        </is>
      </c>
      <c r="R23" s="2">
        <f>IF(G23&gt;0,K23/G23,"")</f>
        <v/>
      </c>
      <c r="S23" s="3">
        <f>IF(G23&gt;0,M23/G23*100,"")</f>
        <v/>
      </c>
      <c r="T23" s="3">
        <f>IF(G23&gt;0,N23/G23*100,"")</f>
        <v/>
      </c>
    </row>
    <row r="24">
      <c r="A24" t="inlineStr">
        <is>
          <t>2026-11-13</t>
        </is>
      </c>
      <c r="B24" t="inlineStr">
        <is>
          <t>21:00</t>
        </is>
      </c>
      <c r="C24" t="inlineStr">
        <is>
          <t>X03</t>
        </is>
      </c>
      <c r="D24" t="n">
        <v>2</v>
      </c>
      <c r="E24" t="inlineStr"/>
      <c r="F24" t="inlineStr"/>
      <c r="R24" s="2">
        <f>IF(G24&gt;0,K24/G24,"")</f>
        <v/>
      </c>
      <c r="S24" s="3">
        <f>IF(G24&gt;0,M24/G24*100,"")</f>
        <v/>
      </c>
      <c r="T24" s="3">
        <f>IF(G24&gt;0,N24/G24*100,"")</f>
        <v/>
      </c>
    </row>
    <row r="25">
      <c r="A25" t="inlineStr">
        <is>
          <t>2026-11-14</t>
        </is>
      </c>
      <c r="B25" t="inlineStr">
        <is>
          <t>09:00</t>
        </is>
      </c>
      <c r="C25" t="inlineStr">
        <is>
          <t>X03</t>
        </is>
      </c>
      <c r="D25" t="n">
        <v>3</v>
      </c>
      <c r="E25" t="inlineStr"/>
      <c r="F25" t="inlineStr"/>
      <c r="R25" s="2">
        <f>IF(G25&gt;0,K25/G25,"")</f>
        <v/>
      </c>
      <c r="S25" s="3">
        <f>IF(G25&gt;0,M25/G25*100,"")</f>
        <v/>
      </c>
      <c r="T25" s="3">
        <f>IF(G25&gt;0,N25/G25*100,"")</f>
        <v/>
      </c>
    </row>
    <row r="26">
      <c r="A26" t="inlineStr">
        <is>
          <t>2026-11-14</t>
        </is>
      </c>
      <c r="B26" t="inlineStr">
        <is>
          <t>09:00</t>
        </is>
      </c>
      <c r="C26" t="inlineStr">
        <is>
          <t>X03</t>
        </is>
      </c>
      <c r="D26" t="n">
        <v>4</v>
      </c>
      <c r="E26" t="inlineStr"/>
      <c r="F26" t="inlineStr"/>
      <c r="R26" s="2">
        <f>IF(G26&gt;0,K26/G26,"")</f>
        <v/>
      </c>
      <c r="S26" s="3">
        <f>IF(G26&gt;0,M26/G26*100,"")</f>
        <v/>
      </c>
      <c r="T26" s="3">
        <f>IF(G26&gt;0,N26/G26*100,"")</f>
        <v/>
      </c>
    </row>
    <row r="27">
      <c r="A27" t="inlineStr">
        <is>
          <t>2026-11-14</t>
        </is>
      </c>
      <c r="B27" t="inlineStr">
        <is>
          <t>21:00</t>
        </is>
      </c>
      <c r="C27" t="inlineStr">
        <is>
          <t>C40</t>
        </is>
      </c>
      <c r="D27" t="n">
        <v>1</v>
      </c>
      <c r="E27" t="inlineStr"/>
      <c r="F27" t="inlineStr">
        <is>
          <t>Quiz: A wake early / B some things are u</t>
        </is>
      </c>
      <c r="R27" s="2">
        <f>IF(G27&gt;0,K27/G27,"")</f>
        <v/>
      </c>
      <c r="S27" s="3">
        <f>IF(G27&gt;0,M27/G27*100,"")</f>
        <v/>
      </c>
      <c r="T27" s="3">
        <f>IF(G27&gt;0,N27/G27*100,"")</f>
        <v/>
      </c>
    </row>
    <row r="28">
      <c r="A28" t="inlineStr">
        <is>
          <t>2026-11-14</t>
        </is>
      </c>
      <c r="B28" t="inlineStr">
        <is>
          <t>21:00</t>
        </is>
      </c>
      <c r="C28" t="inlineStr">
        <is>
          <t>C40</t>
        </is>
      </c>
      <c r="D28" t="n">
        <v>2</v>
      </c>
      <c r="E28" t="inlineStr"/>
      <c r="F28" t="inlineStr"/>
      <c r="R28" s="2">
        <f>IF(G28&gt;0,K28/G28,"")</f>
        <v/>
      </c>
      <c r="S28" s="3">
        <f>IF(G28&gt;0,M28/G28*100,"")</f>
        <v/>
      </c>
      <c r="T28" s="3">
        <f>IF(G28&gt;0,N28/G28*100,"")</f>
        <v/>
      </c>
    </row>
    <row r="29">
      <c r="A29" t="inlineStr">
        <is>
          <t>2026-11-15</t>
        </is>
      </c>
      <c r="B29" t="inlineStr">
        <is>
          <t>09:00</t>
        </is>
      </c>
      <c r="C29" t="inlineStr">
        <is>
          <t>C40</t>
        </is>
      </c>
      <c r="D29" t="n">
        <v>3</v>
      </c>
      <c r="E29" t="inlineStr"/>
      <c r="F29" t="inlineStr"/>
      <c r="R29" s="2">
        <f>IF(G29&gt;0,K29/G29,"")</f>
        <v/>
      </c>
      <c r="S29" s="3">
        <f>IF(G29&gt;0,M29/G29*100,"")</f>
        <v/>
      </c>
      <c r="T29" s="3">
        <f>IF(G29&gt;0,N29/G29*100,"")</f>
        <v/>
      </c>
    </row>
    <row r="30">
      <c r="A30" t="inlineStr">
        <is>
          <t>2026-11-15</t>
        </is>
      </c>
      <c r="B30" t="inlineStr">
        <is>
          <t>09:00</t>
        </is>
      </c>
      <c r="C30" t="inlineStr">
        <is>
          <t>C40</t>
        </is>
      </c>
      <c r="D30" t="n">
        <v>4</v>
      </c>
      <c r="E30" t="inlineStr"/>
      <c r="F30" t="inlineStr"/>
      <c r="R30" s="2">
        <f>IF(G30&gt;0,K30/G30,"")</f>
        <v/>
      </c>
      <c r="S30" s="3">
        <f>IF(G30&gt;0,M30/G30*100,"")</f>
        <v/>
      </c>
      <c r="T30" s="3">
        <f>IF(G30&gt;0,N30/G30*100,"")</f>
        <v/>
      </c>
    </row>
    <row r="31">
      <c r="A31" t="inlineStr">
        <is>
          <t>2026-11-15</t>
        </is>
      </c>
      <c r="B31" t="inlineStr">
        <is>
          <t>21:00</t>
        </is>
      </c>
      <c r="C31" t="inlineStr">
        <is>
          <t>S08</t>
        </is>
      </c>
      <c r="D31" t="n">
        <v>1</v>
      </c>
      <c r="E31" t="inlineStr"/>
      <c r="F31" t="inlineStr"/>
      <c r="R31" s="2">
        <f>IF(G31&gt;0,K31/G31,"")</f>
        <v/>
      </c>
      <c r="S31" s="3">
        <f>IF(G31&gt;0,M31/G31*100,"")</f>
        <v/>
      </c>
      <c r="T31" s="3">
        <f>IF(G31&gt;0,N31/G31*100,"")</f>
        <v/>
      </c>
    </row>
    <row r="32">
      <c r="A32" t="inlineStr">
        <is>
          <t>2026-11-15</t>
        </is>
      </c>
      <c r="B32" t="inlineStr">
        <is>
          <t>21:00</t>
        </is>
      </c>
      <c r="C32" t="inlineStr">
        <is>
          <t>S08</t>
        </is>
      </c>
      <c r="D32" t="n">
        <v>2</v>
      </c>
      <c r="E32" t="inlineStr"/>
      <c r="F32" t="inlineStr">
        <is>
          <t>Quiz sticker: A more selfies / B they go</t>
        </is>
      </c>
      <c r="R32" s="2">
        <f>IF(G32&gt;0,K32/G32,"")</f>
        <v/>
      </c>
      <c r="S32" s="3">
        <f>IF(G32&gt;0,M32/G32*100,"")</f>
        <v/>
      </c>
      <c r="T32" s="3">
        <f>IF(G32&gt;0,N32/G32*100,"")</f>
        <v/>
      </c>
    </row>
    <row r="33">
      <c r="A33" t="inlineStr">
        <is>
          <t>2026-11-16</t>
        </is>
      </c>
      <c r="B33" t="inlineStr">
        <is>
          <t>09:00</t>
        </is>
      </c>
      <c r="C33" t="inlineStr">
        <is>
          <t>S08</t>
        </is>
      </c>
      <c r="D33" t="n">
        <v>3</v>
      </c>
      <c r="E33" t="inlineStr"/>
      <c r="F33" t="inlineStr"/>
      <c r="R33" s="2">
        <f>IF(G33&gt;0,K33/G33,"")</f>
        <v/>
      </c>
      <c r="S33" s="3">
        <f>IF(G33&gt;0,M33/G33*100,"")</f>
        <v/>
      </c>
      <c r="T33" s="3">
        <f>IF(G33&gt;0,N33/G33*100,"")</f>
        <v/>
      </c>
    </row>
    <row r="34">
      <c r="A34" t="inlineStr">
        <is>
          <t>2026-11-16</t>
        </is>
      </c>
      <c r="B34" t="inlineStr">
        <is>
          <t>09:00</t>
        </is>
      </c>
      <c r="C34" t="inlineStr">
        <is>
          <t>S08</t>
        </is>
      </c>
      <c r="D34" t="n">
        <v>4</v>
      </c>
      <c r="E34" t="inlineStr"/>
      <c r="F34" t="inlineStr">
        <is>
          <t>Emoji slider 🏢 → 🌌: 'How much awe this w</t>
        </is>
      </c>
      <c r="R34" s="2">
        <f>IF(G34&gt;0,K34/G34,"")</f>
        <v/>
      </c>
      <c r="S34" s="3">
        <f>IF(G34&gt;0,M34/G34*100,"")</f>
        <v/>
      </c>
      <c r="T34" s="3">
        <f>IF(G34&gt;0,N34/G34*100,"")</f>
        <v/>
      </c>
    </row>
    <row r="35">
      <c r="A35" t="inlineStr">
        <is>
          <t>2026-11-16</t>
        </is>
      </c>
      <c r="B35" t="inlineStr">
        <is>
          <t>09:00</t>
        </is>
      </c>
      <c r="C35" t="inlineStr">
        <is>
          <t>S08</t>
        </is>
      </c>
      <c r="D35" t="n">
        <v>5</v>
      </c>
      <c r="E35" t="inlineStr"/>
      <c r="F35" t="inlineStr"/>
      <c r="R35" s="2">
        <f>IF(G35&gt;0,K35/G35,"")</f>
        <v/>
      </c>
      <c r="S35" s="3">
        <f>IF(G35&gt;0,M35/G35*100,"")</f>
        <v/>
      </c>
      <c r="T35" s="3">
        <f>IF(G35&gt;0,N35/G35*100,"")</f>
        <v/>
      </c>
    </row>
    <row r="36">
      <c r="A36" t="inlineStr">
        <is>
          <t>2026-11-16</t>
        </is>
      </c>
      <c r="B36" t="inlineStr">
        <is>
          <t>21:00</t>
        </is>
      </c>
      <c r="C36" t="inlineStr">
        <is>
          <t>S12</t>
        </is>
      </c>
      <c r="D36" t="n">
        <v>1</v>
      </c>
      <c r="E36" t="inlineStr"/>
      <c r="F36" t="inlineStr"/>
      <c r="R36" s="2">
        <f>IF(G36&gt;0,K36/G36,"")</f>
        <v/>
      </c>
      <c r="S36" s="3">
        <f>IF(G36&gt;0,M36/G36*100,"")</f>
        <v/>
      </c>
      <c r="T36" s="3">
        <f>IF(G36&gt;0,N36/G36*100,"")</f>
        <v/>
      </c>
    </row>
    <row r="37">
      <c r="A37" t="inlineStr">
        <is>
          <t>2026-11-16</t>
        </is>
      </c>
      <c r="B37" t="inlineStr">
        <is>
          <t>21:00</t>
        </is>
      </c>
      <c r="C37" t="inlineStr">
        <is>
          <t>S12</t>
        </is>
      </c>
      <c r="D37" t="n">
        <v>2</v>
      </c>
      <c r="E37" t="inlineStr"/>
      <c r="F37" t="inlineStr">
        <is>
          <t>Question box: 'What does your envy want?</t>
        </is>
      </c>
      <c r="R37" s="2">
        <f>IF(G37&gt;0,K37/G37,"")</f>
        <v/>
      </c>
      <c r="S37" s="3">
        <f>IF(G37&gt;0,M37/G37*100,"")</f>
        <v/>
      </c>
      <c r="T37" s="3">
        <f>IF(G37&gt;0,N37/G37*100,"")</f>
        <v/>
      </c>
    </row>
    <row r="38">
      <c r="A38" t="inlineStr">
        <is>
          <t>2026-11-17</t>
        </is>
      </c>
      <c r="B38" t="inlineStr">
        <is>
          <t>09:00</t>
        </is>
      </c>
      <c r="C38" t="inlineStr">
        <is>
          <t>S12</t>
        </is>
      </c>
      <c r="D38" t="n">
        <v>3</v>
      </c>
      <c r="E38" t="inlineStr"/>
      <c r="F38" t="inlineStr"/>
      <c r="R38" s="2">
        <f>IF(G38&gt;0,K38/G38,"")</f>
        <v/>
      </c>
      <c r="S38" s="3">
        <f>IF(G38&gt;0,M38/G38*100,"")</f>
        <v/>
      </c>
      <c r="T38" s="3">
        <f>IF(G38&gt;0,N38/G38*100,"")</f>
        <v/>
      </c>
    </row>
    <row r="39">
      <c r="A39" t="inlineStr">
        <is>
          <t>2026-11-17</t>
        </is>
      </c>
      <c r="B39" t="inlineStr">
        <is>
          <t>09:00</t>
        </is>
      </c>
      <c r="C39" t="inlineStr">
        <is>
          <t>S12</t>
        </is>
      </c>
      <c r="D39" t="n">
        <v>4</v>
      </c>
      <c r="E39" t="inlineStr"/>
      <c r="F39" t="inlineStr">
        <is>
          <t xml:space="preserve">Poll sticker: Their life / One thing in </t>
        </is>
      </c>
      <c r="R39" s="2">
        <f>IF(G39&gt;0,K39/G39,"")</f>
        <v/>
      </c>
      <c r="S39" s="3">
        <f>IF(G39&gt;0,M39/G39*100,"")</f>
        <v/>
      </c>
      <c r="T39" s="3">
        <f>IF(G39&gt;0,N39/G39*100,"")</f>
        <v/>
      </c>
    </row>
    <row r="40">
      <c r="A40" t="inlineStr">
        <is>
          <t>2026-11-17</t>
        </is>
      </c>
      <c r="B40" t="inlineStr">
        <is>
          <t>21:00</t>
        </is>
      </c>
      <c r="C40" t="inlineStr">
        <is>
          <t>S04</t>
        </is>
      </c>
      <c r="D40" t="n">
        <v>1</v>
      </c>
      <c r="E40" t="inlineStr"/>
      <c r="F40" t="inlineStr"/>
      <c r="R40" s="2">
        <f>IF(G40&gt;0,K40/G40,"")</f>
        <v/>
      </c>
      <c r="S40" s="3">
        <f>IF(G40&gt;0,M40/G40*100,"")</f>
        <v/>
      </c>
      <c r="T40" s="3">
        <f>IF(G40&gt;0,N40/G40*100,"")</f>
        <v/>
      </c>
    </row>
    <row r="41">
      <c r="A41" t="inlineStr">
        <is>
          <t>2026-11-17</t>
        </is>
      </c>
      <c r="B41" t="inlineStr">
        <is>
          <t>21:00</t>
        </is>
      </c>
      <c r="C41" t="inlineStr">
        <is>
          <t>S04</t>
        </is>
      </c>
      <c r="D41" t="n">
        <v>2</v>
      </c>
      <c r="E41" t="inlineStr"/>
      <c r="F41" t="inlineStr">
        <is>
          <t>Poll sticker: Calm down / I'm excited.</t>
        </is>
      </c>
      <c r="R41" s="2">
        <f>IF(G41&gt;0,K41/G41,"")</f>
        <v/>
      </c>
      <c r="S41" s="3">
        <f>IF(G41&gt;0,M41/G41*100,"")</f>
        <v/>
      </c>
      <c r="T41" s="3">
        <f>IF(G41&gt;0,N41/G41*100,"")</f>
        <v/>
      </c>
    </row>
    <row r="42">
      <c r="A42" t="inlineStr">
        <is>
          <t>2026-11-18</t>
        </is>
      </c>
      <c r="B42" t="inlineStr">
        <is>
          <t>09:00</t>
        </is>
      </c>
      <c r="C42" t="inlineStr">
        <is>
          <t>S04</t>
        </is>
      </c>
      <c r="D42" t="n">
        <v>3</v>
      </c>
      <c r="E42" t="inlineStr"/>
      <c r="F42" t="inlineStr"/>
      <c r="R42" s="2">
        <f>IF(G42&gt;0,K42/G42,"")</f>
        <v/>
      </c>
      <c r="S42" s="3">
        <f>IF(G42&gt;0,M42/G42*100,"")</f>
        <v/>
      </c>
      <c r="T42" s="3">
        <f>IF(G42&gt;0,N42/G42*100,"")</f>
        <v/>
      </c>
    </row>
    <row r="43">
      <c r="A43" t="inlineStr">
        <is>
          <t>2026-11-18</t>
        </is>
      </c>
      <c r="B43" t="inlineStr">
        <is>
          <t>09:00</t>
        </is>
      </c>
      <c r="C43" t="inlineStr">
        <is>
          <t>S04</t>
        </is>
      </c>
      <c r="D43" t="n">
        <v>4</v>
      </c>
      <c r="E43" t="inlineStr"/>
      <c r="F43" t="inlineStr"/>
      <c r="R43" s="2">
        <f>IF(G43&gt;0,K43/G43,"")</f>
        <v/>
      </c>
      <c r="S43" s="3">
        <f>IF(G43&gt;0,M43/G43*100,"")</f>
        <v/>
      </c>
      <c r="T43" s="3">
        <f>IF(G43&gt;0,N43/G43*100,"")</f>
        <v/>
      </c>
    </row>
    <row r="44">
      <c r="A44" t="inlineStr">
        <is>
          <t>2026-11-18</t>
        </is>
      </c>
      <c r="B44" t="inlineStr">
        <is>
          <t>09:00</t>
        </is>
      </c>
      <c r="C44" t="inlineStr">
        <is>
          <t>S04</t>
        </is>
      </c>
      <c r="D44" t="n">
        <v>5</v>
      </c>
      <c r="E44" t="inlineStr"/>
      <c r="F44" t="inlineStr">
        <is>
          <t>Question box: 'This week I'm nervous abo</t>
        </is>
      </c>
      <c r="R44" s="2">
        <f>IF(G44&gt;0,K44/G44,"")</f>
        <v/>
      </c>
      <c r="S44" s="3">
        <f>IF(G44&gt;0,M44/G44*100,"")</f>
        <v/>
      </c>
      <c r="T44" s="3">
        <f>IF(G44&gt;0,N44/G44*100,"")</f>
        <v/>
      </c>
    </row>
    <row r="45">
      <c r="A45" t="inlineStr">
        <is>
          <t>2026-11-18</t>
        </is>
      </c>
      <c r="B45" t="inlineStr">
        <is>
          <t>21:00</t>
        </is>
      </c>
      <c r="C45" t="inlineStr">
        <is>
          <t>C45</t>
        </is>
      </c>
      <c r="D45" t="n">
        <v>1</v>
      </c>
      <c r="E45" t="inlineStr"/>
      <c r="F45" t="inlineStr">
        <is>
          <t>Quiz: A ignored / B some listened and fe</t>
        </is>
      </c>
      <c r="R45" s="2">
        <f>IF(G45&gt;0,K45/G45,"")</f>
        <v/>
      </c>
      <c r="S45" s="3">
        <f>IF(G45&gt;0,M45/G45*100,"")</f>
        <v/>
      </c>
      <c r="T45" s="3">
        <f>IF(G45&gt;0,N45/G45*100,"")</f>
        <v/>
      </c>
    </row>
    <row r="46">
      <c r="A46" t="inlineStr">
        <is>
          <t>2026-11-18</t>
        </is>
      </c>
      <c r="B46" t="inlineStr">
        <is>
          <t>21:00</t>
        </is>
      </c>
      <c r="C46" t="inlineStr">
        <is>
          <t>C45</t>
        </is>
      </c>
      <c r="D46" t="n">
        <v>2</v>
      </c>
      <c r="E46" t="inlineStr"/>
      <c r="F46" t="inlineStr"/>
      <c r="R46" s="2">
        <f>IF(G46&gt;0,K46/G46,"")</f>
        <v/>
      </c>
      <c r="S46" s="3">
        <f>IF(G46&gt;0,M46/G46*100,"")</f>
        <v/>
      </c>
      <c r="T46" s="3">
        <f>IF(G46&gt;0,N46/G46*100,"")</f>
        <v/>
      </c>
    </row>
    <row r="47">
      <c r="A47" t="inlineStr">
        <is>
          <t>2026-11-19</t>
        </is>
      </c>
      <c r="B47" t="inlineStr">
        <is>
          <t>09:00</t>
        </is>
      </c>
      <c r="C47" t="inlineStr">
        <is>
          <t>C45</t>
        </is>
      </c>
      <c r="D47" t="n">
        <v>3</v>
      </c>
      <c r="E47" t="inlineStr"/>
      <c r="F47" t="inlineStr"/>
      <c r="R47" s="2">
        <f>IF(G47&gt;0,K47/G47,"")</f>
        <v/>
      </c>
      <c r="S47" s="3">
        <f>IF(G47&gt;0,M47/G47*100,"")</f>
        <v/>
      </c>
      <c r="T47" s="3">
        <f>IF(G47&gt;0,N47/G47*100,"")</f>
        <v/>
      </c>
    </row>
    <row r="48">
      <c r="A48" t="inlineStr">
        <is>
          <t>2026-11-19</t>
        </is>
      </c>
      <c r="B48" t="inlineStr">
        <is>
          <t>09:00</t>
        </is>
      </c>
      <c r="C48" t="inlineStr">
        <is>
          <t>C45</t>
        </is>
      </c>
      <c r="D48" t="n">
        <v>4</v>
      </c>
      <c r="E48" t="inlineStr"/>
      <c r="F48" t="inlineStr"/>
      <c r="R48" s="2">
        <f>IF(G48&gt;0,K48/G48,"")</f>
        <v/>
      </c>
      <c r="S48" s="3">
        <f>IF(G48&gt;0,M48/G48*100,"")</f>
        <v/>
      </c>
      <c r="T48" s="3">
        <f>IF(G48&gt;0,N48/G48*100,"")</f>
        <v/>
      </c>
    </row>
    <row r="49">
      <c r="A49" t="inlineStr">
        <is>
          <t>2026-11-19</t>
        </is>
      </c>
      <c r="B49" t="inlineStr">
        <is>
          <t>21:00</t>
        </is>
      </c>
      <c r="C49" t="inlineStr">
        <is>
          <t>S10</t>
        </is>
      </c>
      <c r="D49" t="n">
        <v>1</v>
      </c>
      <c r="E49" t="inlineStr"/>
      <c r="F49" t="inlineStr"/>
      <c r="R49" s="2">
        <f>IF(G49&gt;0,K49/G49,"")</f>
        <v/>
      </c>
      <c r="S49" s="3">
        <f>IF(G49&gt;0,M49/G49*100,"")</f>
        <v/>
      </c>
      <c r="T49" s="3">
        <f>IF(G49&gt;0,N49/G49*100,"")</f>
        <v/>
      </c>
    </row>
    <row r="50">
      <c r="A50" t="inlineStr">
        <is>
          <t>2026-11-19</t>
        </is>
      </c>
      <c r="B50" t="inlineStr">
        <is>
          <t>21:00</t>
        </is>
      </c>
      <c r="C50" t="inlineStr">
        <is>
          <t>S10</t>
        </is>
      </c>
      <c r="D50" t="n">
        <v>2</v>
      </c>
      <c r="E50" t="inlineStr"/>
      <c r="F50" t="inlineStr">
        <is>
          <t>Quiz sticker: A 21 days / B about 66 day</t>
        </is>
      </c>
      <c r="R50" s="2">
        <f>IF(G50&gt;0,K50/G50,"")</f>
        <v/>
      </c>
      <c r="S50" s="3">
        <f>IF(G50&gt;0,M50/G50*100,"")</f>
        <v/>
      </c>
      <c r="T50" s="3">
        <f>IF(G50&gt;0,N50/G50*100,"")</f>
        <v/>
      </c>
    </row>
    <row r="51">
      <c r="A51" t="inlineStr">
        <is>
          <t>2026-11-20</t>
        </is>
      </c>
      <c r="B51" t="inlineStr">
        <is>
          <t>09:00</t>
        </is>
      </c>
      <c r="C51" t="inlineStr">
        <is>
          <t>S10</t>
        </is>
      </c>
      <c r="D51" t="n">
        <v>3</v>
      </c>
      <c r="E51" t="inlineStr"/>
      <c r="F51" t="inlineStr"/>
      <c r="R51" s="2">
        <f>IF(G51&gt;0,K51/G51,"")</f>
        <v/>
      </c>
      <c r="S51" s="3">
        <f>IF(G51&gt;0,M51/G51*100,"")</f>
        <v/>
      </c>
      <c r="T51" s="3">
        <f>IF(G51&gt;0,N51/G51*100,"")</f>
        <v/>
      </c>
    </row>
    <row r="52">
      <c r="A52" t="inlineStr">
        <is>
          <t>2026-11-20</t>
        </is>
      </c>
      <c r="B52" t="inlineStr">
        <is>
          <t>09:00</t>
        </is>
      </c>
      <c r="C52" t="inlineStr">
        <is>
          <t>S10</t>
        </is>
      </c>
      <c r="D52" t="n">
        <v>4</v>
      </c>
      <c r="E52" t="inlineStr"/>
      <c r="F52" t="inlineStr"/>
      <c r="R52" s="2">
        <f>IF(G52&gt;0,K52/G52,"")</f>
        <v/>
      </c>
      <c r="S52" s="3">
        <f>IF(G52&gt;0,M52/G52*100,"")</f>
        <v/>
      </c>
      <c r="T52" s="3">
        <f>IF(G52&gt;0,N52/G52*100,"")</f>
        <v/>
      </c>
    </row>
    <row r="53">
      <c r="A53" t="inlineStr">
        <is>
          <t>2026-11-20</t>
        </is>
      </c>
      <c r="B53" t="inlineStr">
        <is>
          <t>09:00</t>
        </is>
      </c>
      <c r="C53" t="inlineStr">
        <is>
          <t>S10</t>
        </is>
      </c>
      <c r="D53" t="n">
        <v>5</v>
      </c>
      <c r="E53" t="inlineStr"/>
      <c r="F53" t="inlineStr">
        <is>
          <t>Emoji slider 🐢 → 🚀: 'How automatic is it</t>
        </is>
      </c>
      <c r="R53" s="2">
        <f>IF(G53&gt;0,K53/G53,"")</f>
        <v/>
      </c>
      <c r="S53" s="3">
        <f>IF(G53&gt;0,M53/G53*100,"")</f>
        <v/>
      </c>
      <c r="T53" s="3">
        <f>IF(G53&gt;0,N53/G53*100,"")</f>
        <v/>
      </c>
    </row>
    <row r="54">
      <c r="A54" t="inlineStr">
        <is>
          <t>2026-11-20</t>
        </is>
      </c>
      <c r="B54" t="inlineStr">
        <is>
          <t>21:00</t>
        </is>
      </c>
      <c r="C54" t="inlineStr">
        <is>
          <t>X03</t>
        </is>
      </c>
      <c r="D54" t="n">
        <v>1</v>
      </c>
      <c r="E54" t="inlineStr"/>
      <c r="F54" t="inlineStr">
        <is>
          <t>Poll: History / Mind / Kindness</t>
        </is>
      </c>
      <c r="R54" s="2">
        <f>IF(G54&gt;0,K54/G54,"")</f>
        <v/>
      </c>
      <c r="S54" s="3">
        <f>IF(G54&gt;0,M54/G54*100,"")</f>
        <v/>
      </c>
      <c r="T54" s="3">
        <f>IF(G54&gt;0,N54/G54*100,"")</f>
        <v/>
      </c>
    </row>
    <row r="55">
      <c r="A55" t="inlineStr">
        <is>
          <t>2026-11-20</t>
        </is>
      </c>
      <c r="B55" t="inlineStr">
        <is>
          <t>21:00</t>
        </is>
      </c>
      <c r="C55" t="inlineStr">
        <is>
          <t>X03</t>
        </is>
      </c>
      <c r="D55" t="n">
        <v>2</v>
      </c>
      <c r="E55" t="inlineStr"/>
      <c r="F55" t="inlineStr"/>
      <c r="R55" s="2">
        <f>IF(G55&gt;0,K55/G55,"")</f>
        <v/>
      </c>
      <c r="S55" s="3">
        <f>IF(G55&gt;0,M55/G55*100,"")</f>
        <v/>
      </c>
      <c r="T55" s="3">
        <f>IF(G55&gt;0,N55/G55*100,"")</f>
        <v/>
      </c>
    </row>
    <row r="56">
      <c r="A56" t="inlineStr">
        <is>
          <t>2026-11-21</t>
        </is>
      </c>
      <c r="B56" t="inlineStr">
        <is>
          <t>09:00</t>
        </is>
      </c>
      <c r="C56" t="inlineStr">
        <is>
          <t>X03</t>
        </is>
      </c>
      <c r="D56" t="n">
        <v>3</v>
      </c>
      <c r="E56" t="inlineStr"/>
      <c r="F56" t="inlineStr"/>
      <c r="R56" s="2">
        <f>IF(G56&gt;0,K56/G56,"")</f>
        <v/>
      </c>
      <c r="S56" s="3">
        <f>IF(G56&gt;0,M56/G56*100,"")</f>
        <v/>
      </c>
      <c r="T56" s="3">
        <f>IF(G56&gt;0,N56/G56*100,"")</f>
        <v/>
      </c>
    </row>
    <row r="57">
      <c r="A57" t="inlineStr">
        <is>
          <t>2026-11-21</t>
        </is>
      </c>
      <c r="B57" t="inlineStr">
        <is>
          <t>09:00</t>
        </is>
      </c>
      <c r="C57" t="inlineStr">
        <is>
          <t>X03</t>
        </is>
      </c>
      <c r="D57" t="n">
        <v>4</v>
      </c>
      <c r="E57" t="inlineStr"/>
      <c r="F57" t="inlineStr"/>
      <c r="R57" s="2">
        <f>IF(G57&gt;0,K57/G57,"")</f>
        <v/>
      </c>
      <c r="S57" s="3">
        <f>IF(G57&gt;0,M57/G57*100,"")</f>
        <v/>
      </c>
      <c r="T57" s="3">
        <f>IF(G57&gt;0,N57/G57*100,"")</f>
        <v/>
      </c>
    </row>
    <row r="58">
      <c r="A58" t="inlineStr">
        <is>
          <t>2026-11-21</t>
        </is>
      </c>
      <c r="B58" t="inlineStr">
        <is>
          <t>21:00</t>
        </is>
      </c>
      <c r="C58" t="inlineStr">
        <is>
          <t>S06</t>
        </is>
      </c>
      <c r="D58" t="n">
        <v>1</v>
      </c>
      <c r="E58" t="inlineStr"/>
      <c r="F58" t="inlineStr"/>
      <c r="R58" s="2">
        <f>IF(G58&gt;0,K58/G58,"")</f>
        <v/>
      </c>
      <c r="S58" s="3">
        <f>IF(G58&gt;0,M58/G58*100,"")</f>
        <v/>
      </c>
      <c r="T58" s="3">
        <f>IF(G58&gt;0,N58/G58*100,"")</f>
        <v/>
      </c>
    </row>
    <row r="59">
      <c r="A59" t="inlineStr">
        <is>
          <t>2026-11-21</t>
        </is>
      </c>
      <c r="B59" t="inlineStr">
        <is>
          <t>21:00</t>
        </is>
      </c>
      <c r="C59" t="inlineStr">
        <is>
          <t>S06</t>
        </is>
      </c>
      <c r="D59" t="n">
        <v>2</v>
      </c>
      <c r="E59" t="inlineStr"/>
      <c r="F59" t="inlineStr">
        <is>
          <t>Question box: 'A stranger once…'</t>
        </is>
      </c>
      <c r="R59" s="2">
        <f>IF(G59&gt;0,K59/G59,"")</f>
        <v/>
      </c>
      <c r="S59" s="3">
        <f>IF(G59&gt;0,M59/G59*100,"")</f>
        <v/>
      </c>
      <c r="T59" s="3">
        <f>IF(G59&gt;0,N59/G59*100,"")</f>
        <v/>
      </c>
    </row>
    <row r="60">
      <c r="A60" t="inlineStr">
        <is>
          <t>2026-11-22</t>
        </is>
      </c>
      <c r="B60" t="inlineStr">
        <is>
          <t>09:00</t>
        </is>
      </c>
      <c r="C60" t="inlineStr">
        <is>
          <t>S06</t>
        </is>
      </c>
      <c r="D60" t="n">
        <v>3</v>
      </c>
      <c r="E60" t="inlineStr"/>
      <c r="F60" t="inlineStr"/>
      <c r="R60" s="2">
        <f>IF(G60&gt;0,K60/G60,"")</f>
        <v/>
      </c>
      <c r="S60" s="3">
        <f>IF(G60&gt;0,M60/G60*100,"")</f>
        <v/>
      </c>
      <c r="T60" s="3">
        <f>IF(G60&gt;0,N60/G60*100,"")</f>
        <v/>
      </c>
    </row>
    <row r="61">
      <c r="A61" t="inlineStr">
        <is>
          <t>2026-11-22</t>
        </is>
      </c>
      <c r="B61" t="inlineStr">
        <is>
          <t>09:00</t>
        </is>
      </c>
      <c r="C61" t="inlineStr">
        <is>
          <t>S06</t>
        </is>
      </c>
      <c r="D61" t="n">
        <v>4</v>
      </c>
      <c r="E61" t="inlineStr"/>
      <c r="F61" t="inlineStr"/>
      <c r="R61" s="2">
        <f>IF(G61&gt;0,K61/G61,"")</f>
        <v/>
      </c>
      <c r="S61" s="3">
        <f>IF(G61&gt;0,M61/G61*100,"")</f>
        <v/>
      </c>
      <c r="T61" s="3">
        <f>IF(G61&gt;0,N61/G61*100,"")</f>
        <v/>
      </c>
    </row>
    <row r="62">
      <c r="A62" t="inlineStr">
        <is>
          <t>2026-11-22</t>
        </is>
      </c>
      <c r="B62" t="inlineStr">
        <is>
          <t>09:00</t>
        </is>
      </c>
      <c r="C62" t="inlineStr">
        <is>
          <t>S06</t>
        </is>
      </c>
      <c r="D62" t="n">
        <v>5</v>
      </c>
      <c r="E62" t="inlineStr"/>
      <c r="F62" t="inlineStr"/>
      <c r="R62" s="2">
        <f>IF(G62&gt;0,K62/G62,"")</f>
        <v/>
      </c>
      <c r="S62" s="3">
        <f>IF(G62&gt;0,M62/G62*100,"")</f>
        <v/>
      </c>
      <c r="T62" s="3">
        <f>IF(G62&gt;0,N62/G62*100,"")</f>
        <v/>
      </c>
    </row>
    <row r="63">
      <c r="A63" t="inlineStr">
        <is>
          <t>2026-11-22</t>
        </is>
      </c>
      <c r="B63" t="inlineStr">
        <is>
          <t>21:00</t>
        </is>
      </c>
      <c r="C63" t="inlineStr">
        <is>
          <t>S15</t>
        </is>
      </c>
      <c r="D63" t="n">
        <v>1</v>
      </c>
      <c r="E63" t="inlineStr"/>
      <c r="F63" t="inlineStr"/>
      <c r="R63" s="2">
        <f>IF(G63&gt;0,K63/G63,"")</f>
        <v/>
      </c>
      <c r="S63" s="3">
        <f>IF(G63&gt;0,M63/G63*100,"")</f>
        <v/>
      </c>
      <c r="T63" s="3">
        <f>IF(G63&gt;0,N63/G63*100,"")</f>
        <v/>
      </c>
    </row>
    <row r="64">
      <c r="A64" t="inlineStr">
        <is>
          <t>2026-11-22</t>
        </is>
      </c>
      <c r="B64" t="inlineStr">
        <is>
          <t>21:00</t>
        </is>
      </c>
      <c r="C64" t="inlineStr">
        <is>
          <t>S15</t>
        </is>
      </c>
      <c r="D64" t="n">
        <v>2</v>
      </c>
      <c r="E64" t="inlineStr"/>
      <c r="F64" t="inlineStr">
        <is>
          <t>Emoji slider 🏢 → 🌳: 'Minutes in nature t</t>
        </is>
      </c>
      <c r="R64" s="2">
        <f>IF(G64&gt;0,K64/G64,"")</f>
        <v/>
      </c>
      <c r="S64" s="3">
        <f>IF(G64&gt;0,M64/G64*100,"")</f>
        <v/>
      </c>
      <c r="T64" s="3">
        <f>IF(G64&gt;0,N64/G64*100,"")</f>
        <v/>
      </c>
    </row>
    <row r="65">
      <c r="A65" t="inlineStr">
        <is>
          <t>2026-11-23</t>
        </is>
      </c>
      <c r="B65" t="inlineStr">
        <is>
          <t>09:00</t>
        </is>
      </c>
      <c r="C65" t="inlineStr">
        <is>
          <t>S15</t>
        </is>
      </c>
      <c r="D65" t="n">
        <v>3</v>
      </c>
      <c r="E65" t="inlineStr"/>
      <c r="F65" t="inlineStr"/>
      <c r="R65" s="2">
        <f>IF(G65&gt;0,K65/G65,"")</f>
        <v/>
      </c>
      <c r="S65" s="3">
        <f>IF(G65&gt;0,M65/G65*100,"")</f>
        <v/>
      </c>
      <c r="T65" s="3">
        <f>IF(G65&gt;0,N65/G65*100,"")</f>
        <v/>
      </c>
    </row>
    <row r="66">
      <c r="A66" t="inlineStr">
        <is>
          <t>2026-11-23</t>
        </is>
      </c>
      <c r="B66" t="inlineStr">
        <is>
          <t>09:00</t>
        </is>
      </c>
      <c r="C66" t="inlineStr">
        <is>
          <t>S15</t>
        </is>
      </c>
      <c r="D66" t="n">
        <v>4</v>
      </c>
      <c r="E66" t="inlineStr"/>
      <c r="F66" t="inlineStr"/>
      <c r="R66" s="2">
        <f>IF(G66&gt;0,K66/G66,"")</f>
        <v/>
      </c>
      <c r="S66" s="3">
        <f>IF(G66&gt;0,M66/G66*100,"")</f>
        <v/>
      </c>
      <c r="T66" s="3">
        <f>IF(G66&gt;0,N66/G66*100,"")</f>
        <v/>
      </c>
    </row>
    <row r="67">
      <c r="A67" t="inlineStr">
        <is>
          <t>2026-11-23</t>
        </is>
      </c>
      <c r="B67" t="inlineStr">
        <is>
          <t>21:00</t>
        </is>
      </c>
      <c r="C67" t="inlineStr">
        <is>
          <t>C35</t>
        </is>
      </c>
      <c r="D67" t="n">
        <v>1</v>
      </c>
      <c r="E67" t="inlineStr"/>
      <c r="F67" t="inlineStr">
        <is>
          <t>Question box</t>
        </is>
      </c>
      <c r="R67" s="2">
        <f>IF(G67&gt;0,K67/G67,"")</f>
        <v/>
      </c>
      <c r="S67" s="3">
        <f>IF(G67&gt;0,M67/G67*100,"")</f>
        <v/>
      </c>
      <c r="T67" s="3">
        <f>IF(G67&gt;0,N67/G67*100,"")</f>
        <v/>
      </c>
    </row>
    <row r="68">
      <c r="A68" t="inlineStr">
        <is>
          <t>2026-11-23</t>
        </is>
      </c>
      <c r="B68" t="inlineStr">
        <is>
          <t>21:00</t>
        </is>
      </c>
      <c r="C68" t="inlineStr">
        <is>
          <t>C35</t>
        </is>
      </c>
      <c r="D68" t="n">
        <v>2</v>
      </c>
      <c r="E68" t="inlineStr"/>
      <c r="F68" t="inlineStr"/>
      <c r="R68" s="2">
        <f>IF(G68&gt;0,K68/G68,"")</f>
        <v/>
      </c>
      <c r="S68" s="3">
        <f>IF(G68&gt;0,M68/G68*100,"")</f>
        <v/>
      </c>
      <c r="T68" s="3">
        <f>IF(G68&gt;0,N68/G68*100,"")</f>
        <v/>
      </c>
    </row>
    <row r="69">
      <c r="A69" t="inlineStr">
        <is>
          <t>2026-11-24</t>
        </is>
      </c>
      <c r="B69" t="inlineStr">
        <is>
          <t>09:00</t>
        </is>
      </c>
      <c r="C69" t="inlineStr">
        <is>
          <t>C35</t>
        </is>
      </c>
      <c r="D69" t="n">
        <v>3</v>
      </c>
      <c r="E69" t="inlineStr"/>
      <c r="F69" t="inlineStr"/>
      <c r="R69" s="2">
        <f>IF(G69&gt;0,K69/G69,"")</f>
        <v/>
      </c>
      <c r="S69" s="3">
        <f>IF(G69&gt;0,M69/G69*100,"")</f>
        <v/>
      </c>
      <c r="T69" s="3">
        <f>IF(G69&gt;0,N69/G69*100,"")</f>
        <v/>
      </c>
    </row>
    <row r="70">
      <c r="A70" t="inlineStr">
        <is>
          <t>2026-11-24</t>
        </is>
      </c>
      <c r="B70" t="inlineStr">
        <is>
          <t>09:00</t>
        </is>
      </c>
      <c r="C70" t="inlineStr">
        <is>
          <t>C35</t>
        </is>
      </c>
      <c r="D70" t="n">
        <v>4</v>
      </c>
      <c r="E70" t="inlineStr"/>
      <c r="F70" t="inlineStr"/>
      <c r="R70" s="2">
        <f>IF(G70&gt;0,K70/G70,"")</f>
        <v/>
      </c>
      <c r="S70" s="3">
        <f>IF(G70&gt;0,M70/G70*100,"")</f>
        <v/>
      </c>
      <c r="T70" s="3">
        <f>IF(G70&gt;0,N70/G70*100,"")</f>
        <v/>
      </c>
    </row>
    <row r="71">
      <c r="A71" t="inlineStr">
        <is>
          <t>2026-11-24</t>
        </is>
      </c>
      <c r="B71" t="inlineStr">
        <is>
          <t>21:00</t>
        </is>
      </c>
      <c r="C71" t="inlineStr">
        <is>
          <t>S09</t>
        </is>
      </c>
      <c r="D71" t="n">
        <v>1</v>
      </c>
      <c r="E71" t="inlineStr"/>
      <c r="F71" t="inlineStr"/>
      <c r="R71" s="2">
        <f>IF(G71&gt;0,K71/G71,"")</f>
        <v/>
      </c>
      <c r="S71" s="3">
        <f>IF(G71&gt;0,M71/G71*100,"")</f>
        <v/>
      </c>
      <c r="T71" s="3">
        <f>IF(G71&gt;0,N71/G71*100,"")</f>
        <v/>
      </c>
    </row>
    <row r="72">
      <c r="A72" t="inlineStr">
        <is>
          <t>2026-11-24</t>
        </is>
      </c>
      <c r="B72" t="inlineStr">
        <is>
          <t>21:00</t>
        </is>
      </c>
      <c r="C72" t="inlineStr">
        <is>
          <t>S09</t>
        </is>
      </c>
      <c r="D72" t="n">
        <v>2</v>
      </c>
      <c r="E72" t="inlineStr"/>
      <c r="F72" t="inlineStr">
        <is>
          <t>Poll sticker: Honest now / Encourage + q</t>
        </is>
      </c>
      <c r="R72" s="2">
        <f>IF(G72&gt;0,K72/G72,"")</f>
        <v/>
      </c>
      <c r="S72" s="3">
        <f>IF(G72&gt;0,M72/G72*100,"")</f>
        <v/>
      </c>
      <c r="T72" s="3">
        <f>IF(G72&gt;0,N72/G72*100,"")</f>
        <v/>
      </c>
    </row>
    <row r="73">
      <c r="A73" t="inlineStr">
        <is>
          <t>2026-11-25</t>
        </is>
      </c>
      <c r="B73" t="inlineStr">
        <is>
          <t>09:00</t>
        </is>
      </c>
      <c r="C73" t="inlineStr">
        <is>
          <t>S09</t>
        </is>
      </c>
      <c r="D73" t="n">
        <v>3</v>
      </c>
      <c r="E73" t="inlineStr"/>
      <c r="F73" t="inlineStr"/>
      <c r="R73" s="2">
        <f>IF(G73&gt;0,K73/G73,"")</f>
        <v/>
      </c>
      <c r="S73" s="3">
        <f>IF(G73&gt;0,M73/G73*100,"")</f>
        <v/>
      </c>
      <c r="T73" s="3">
        <f>IF(G73&gt;0,N73/G73*100,"")</f>
        <v/>
      </c>
    </row>
    <row r="74">
      <c r="A74" t="inlineStr">
        <is>
          <t>2026-11-25</t>
        </is>
      </c>
      <c r="B74" t="inlineStr">
        <is>
          <t>09:00</t>
        </is>
      </c>
      <c r="C74" t="inlineStr">
        <is>
          <t>S09</t>
        </is>
      </c>
      <c r="D74" t="n">
        <v>4</v>
      </c>
      <c r="E74" t="inlineStr"/>
      <c r="F74" t="inlineStr"/>
      <c r="R74" s="2">
        <f>IF(G74&gt;0,K74/G74,"")</f>
        <v/>
      </c>
      <c r="S74" s="3">
        <f>IF(G74&gt;0,M74/G74*100,"")</f>
        <v/>
      </c>
      <c r="T74" s="3">
        <f>IF(G74&gt;0,N74/G74*100,"")</f>
        <v/>
      </c>
    </row>
    <row r="75">
      <c r="A75" t="inlineStr">
        <is>
          <t>2026-11-25</t>
        </is>
      </c>
      <c r="B75" t="inlineStr">
        <is>
          <t>09:00</t>
        </is>
      </c>
      <c r="C75" t="inlineStr">
        <is>
          <t>S09</t>
        </is>
      </c>
      <c r="D75" t="n">
        <v>5</v>
      </c>
      <c r="E75" t="inlineStr"/>
      <c r="F75" t="inlineStr">
        <is>
          <t>Question box</t>
        </is>
      </c>
      <c r="R75" s="2">
        <f>IF(G75&gt;0,K75/G75,"")</f>
        <v/>
      </c>
      <c r="S75" s="3">
        <f>IF(G75&gt;0,M75/G75*100,"")</f>
        <v/>
      </c>
      <c r="T75" s="3">
        <f>IF(G75&gt;0,N75/G75*100,"")</f>
        <v/>
      </c>
    </row>
    <row r="76">
      <c r="A76" t="inlineStr">
        <is>
          <t>2026-11-25</t>
        </is>
      </c>
      <c r="B76" t="inlineStr">
        <is>
          <t>21:00</t>
        </is>
      </c>
      <c r="C76" t="inlineStr">
        <is>
          <t>S14</t>
        </is>
      </c>
      <c r="D76" t="n">
        <v>1</v>
      </c>
      <c r="E76" t="inlineStr"/>
      <c r="F76" t="inlineStr"/>
      <c r="R76" s="2">
        <f>IF(G76&gt;0,K76/G76,"")</f>
        <v/>
      </c>
      <c r="S76" s="3">
        <f>IF(G76&gt;0,M76/G76*100,"")</f>
        <v/>
      </c>
      <c r="T76" s="3">
        <f>IF(G76&gt;0,N76/G76*100,"")</f>
        <v/>
      </c>
    </row>
    <row r="77">
      <c r="A77" t="inlineStr">
        <is>
          <t>2026-11-25</t>
        </is>
      </c>
      <c r="B77" t="inlineStr">
        <is>
          <t>21:00</t>
        </is>
      </c>
      <c r="C77" t="inlineStr">
        <is>
          <t>S14</t>
        </is>
      </c>
      <c r="D77" t="n">
        <v>2</v>
      </c>
      <c r="E77" t="inlineStr"/>
      <c r="F77" t="inlineStr">
        <is>
          <t xml:space="preserve">Quiz sticker: A a chart / B a letter to </t>
        </is>
      </c>
      <c r="R77" s="2">
        <f>IF(G77&gt;0,K77/G77,"")</f>
        <v/>
      </c>
      <c r="S77" s="3">
        <f>IF(G77&gt;0,M77/G77*100,"")</f>
        <v/>
      </c>
      <c r="T77" s="3">
        <f>IF(G77&gt;0,N77/G77*100,"")</f>
        <v/>
      </c>
    </row>
    <row r="78">
      <c r="A78" t="inlineStr">
        <is>
          <t>2026-11-26</t>
        </is>
      </c>
      <c r="B78" t="inlineStr">
        <is>
          <t>09:00</t>
        </is>
      </c>
      <c r="C78" t="inlineStr">
        <is>
          <t>S14</t>
        </is>
      </c>
      <c r="D78" t="n">
        <v>3</v>
      </c>
      <c r="E78" t="inlineStr"/>
      <c r="F78" t="inlineStr"/>
      <c r="R78" s="2">
        <f>IF(G78&gt;0,K78/G78,"")</f>
        <v/>
      </c>
      <c r="S78" s="3">
        <f>IF(G78&gt;0,M78/G78*100,"")</f>
        <v/>
      </c>
      <c r="T78" s="3">
        <f>IF(G78&gt;0,N78/G78*100,"")</f>
        <v/>
      </c>
    </row>
    <row r="79">
      <c r="A79" t="inlineStr">
        <is>
          <t>2026-11-26</t>
        </is>
      </c>
      <c r="B79" t="inlineStr">
        <is>
          <t>09:00</t>
        </is>
      </c>
      <c r="C79" t="inlineStr">
        <is>
          <t>S14</t>
        </is>
      </c>
      <c r="D79" t="n">
        <v>4</v>
      </c>
      <c r="E79" t="inlineStr"/>
      <c r="F79" t="inlineStr"/>
      <c r="R79" s="2">
        <f>IF(G79&gt;0,K79/G79,"")</f>
        <v/>
      </c>
      <c r="S79" s="3">
        <f>IF(G79&gt;0,M79/G79*100,"")</f>
        <v/>
      </c>
      <c r="T79" s="3">
        <f>IF(G79&gt;0,N79/G79*100,"")</f>
        <v/>
      </c>
    </row>
    <row r="80">
      <c r="A80" t="inlineStr">
        <is>
          <t>2026-11-26</t>
        </is>
      </c>
      <c r="B80" t="inlineStr">
        <is>
          <t>21:00</t>
        </is>
      </c>
      <c r="C80" t="inlineStr">
        <is>
          <t>C41</t>
        </is>
      </c>
      <c r="D80" t="n">
        <v>1</v>
      </c>
      <c r="E80" t="inlineStr"/>
      <c r="F80" t="inlineStr">
        <is>
          <t>Quiz: A it's soft / B it helps everythin</t>
        </is>
      </c>
      <c r="R80" s="2">
        <f>IF(G80&gt;0,K80/G80,"")</f>
        <v/>
      </c>
      <c r="S80" s="3">
        <f>IF(G80&gt;0,M80/G80*100,"")</f>
        <v/>
      </c>
      <c r="T80" s="3">
        <f>IF(G80&gt;0,N80/G80*100,"")</f>
        <v/>
      </c>
    </row>
    <row r="81">
      <c r="A81" t="inlineStr">
        <is>
          <t>2026-11-26</t>
        </is>
      </c>
      <c r="B81" t="inlineStr">
        <is>
          <t>21:00</t>
        </is>
      </c>
      <c r="C81" t="inlineStr">
        <is>
          <t>C41</t>
        </is>
      </c>
      <c r="D81" t="n">
        <v>2</v>
      </c>
      <c r="E81" t="inlineStr"/>
      <c r="F81" t="inlineStr"/>
      <c r="R81" s="2">
        <f>IF(G81&gt;0,K81/G81,"")</f>
        <v/>
      </c>
      <c r="S81" s="3">
        <f>IF(G81&gt;0,M81/G81*100,"")</f>
        <v/>
      </c>
      <c r="T81" s="3">
        <f>IF(G81&gt;0,N81/G81*100,"")</f>
        <v/>
      </c>
    </row>
    <row r="82">
      <c r="A82" t="inlineStr">
        <is>
          <t>2026-11-27</t>
        </is>
      </c>
      <c r="B82" t="inlineStr">
        <is>
          <t>09:00</t>
        </is>
      </c>
      <c r="C82" t="inlineStr">
        <is>
          <t>C41</t>
        </is>
      </c>
      <c r="D82" t="n">
        <v>3</v>
      </c>
      <c r="E82" t="inlineStr"/>
      <c r="F82" t="inlineStr"/>
      <c r="R82" s="2">
        <f>IF(G82&gt;0,K82/G82,"")</f>
        <v/>
      </c>
      <c r="S82" s="3">
        <f>IF(G82&gt;0,M82/G82*100,"")</f>
        <v/>
      </c>
      <c r="T82" s="3">
        <f>IF(G82&gt;0,N82/G82*100,"")</f>
        <v/>
      </c>
    </row>
    <row r="83">
      <c r="A83" t="inlineStr">
        <is>
          <t>2026-11-27</t>
        </is>
      </c>
      <c r="B83" t="inlineStr">
        <is>
          <t>09:00</t>
        </is>
      </c>
      <c r="C83" t="inlineStr">
        <is>
          <t>C41</t>
        </is>
      </c>
      <c r="D83" t="n">
        <v>4</v>
      </c>
      <c r="E83" t="inlineStr"/>
      <c r="F83" t="inlineStr"/>
      <c r="R83" s="2">
        <f>IF(G83&gt;0,K83/G83,"")</f>
        <v/>
      </c>
      <c r="S83" s="3">
        <f>IF(G83&gt;0,M83/G83*100,"")</f>
        <v/>
      </c>
      <c r="T83" s="3">
        <f>IF(G83&gt;0,N83/G83*100,"")</f>
        <v/>
      </c>
    </row>
    <row r="84">
      <c r="A84" t="inlineStr">
        <is>
          <t>2026-11-27</t>
        </is>
      </c>
      <c r="B84" t="inlineStr">
        <is>
          <t>21:00</t>
        </is>
      </c>
      <c r="C84" t="inlineStr">
        <is>
          <t>X03</t>
        </is>
      </c>
      <c r="D84" t="n">
        <v>1</v>
      </c>
      <c r="E84" t="inlineStr"/>
      <c r="F84" t="inlineStr">
        <is>
          <t>Poll: History / Mind / Kindness</t>
        </is>
      </c>
      <c r="R84" s="2">
        <f>IF(G84&gt;0,K84/G84,"")</f>
        <v/>
      </c>
      <c r="S84" s="3">
        <f>IF(G84&gt;0,M84/G84*100,"")</f>
        <v/>
      </c>
      <c r="T84" s="3">
        <f>IF(G84&gt;0,N84/G84*100,"")</f>
        <v/>
      </c>
    </row>
    <row r="85">
      <c r="A85" t="inlineStr">
        <is>
          <t>2026-11-27</t>
        </is>
      </c>
      <c r="B85" t="inlineStr">
        <is>
          <t>21:00</t>
        </is>
      </c>
      <c r="C85" t="inlineStr">
        <is>
          <t>X03</t>
        </is>
      </c>
      <c r="D85" t="n">
        <v>2</v>
      </c>
      <c r="E85" t="inlineStr"/>
      <c r="F85" t="inlineStr"/>
      <c r="R85" s="2">
        <f>IF(G85&gt;0,K85/G85,"")</f>
        <v/>
      </c>
      <c r="S85" s="3">
        <f>IF(G85&gt;0,M85/G85*100,"")</f>
        <v/>
      </c>
      <c r="T85" s="3">
        <f>IF(G85&gt;0,N85/G85*100,"")</f>
        <v/>
      </c>
    </row>
    <row r="86">
      <c r="A86" t="inlineStr">
        <is>
          <t>2026-11-28</t>
        </is>
      </c>
      <c r="B86" t="inlineStr">
        <is>
          <t>09:00</t>
        </is>
      </c>
      <c r="C86" t="inlineStr">
        <is>
          <t>X03</t>
        </is>
      </c>
      <c r="D86" t="n">
        <v>3</v>
      </c>
      <c r="E86" t="inlineStr"/>
      <c r="F86" t="inlineStr"/>
      <c r="R86" s="2">
        <f>IF(G86&gt;0,K86/G86,"")</f>
        <v/>
      </c>
      <c r="S86" s="3">
        <f>IF(G86&gt;0,M86/G86*100,"")</f>
        <v/>
      </c>
      <c r="T86" s="3">
        <f>IF(G86&gt;0,N86/G86*100,"")</f>
        <v/>
      </c>
    </row>
    <row r="87">
      <c r="A87" t="inlineStr">
        <is>
          <t>2026-11-28</t>
        </is>
      </c>
      <c r="B87" t="inlineStr">
        <is>
          <t>09:00</t>
        </is>
      </c>
      <c r="C87" t="inlineStr">
        <is>
          <t>X03</t>
        </is>
      </c>
      <c r="D87" t="n">
        <v>4</v>
      </c>
      <c r="E87" t="inlineStr"/>
      <c r="F87" t="inlineStr"/>
      <c r="R87" s="2">
        <f>IF(G87&gt;0,K87/G87,"")</f>
        <v/>
      </c>
      <c r="S87" s="3">
        <f>IF(G87&gt;0,M87/G87*100,"")</f>
        <v/>
      </c>
      <c r="T87" s="3">
        <f>IF(G87&gt;0,N87/G87*100,"")</f>
        <v/>
      </c>
    </row>
    <row r="88">
      <c r="A88" t="inlineStr">
        <is>
          <t>2026-11-28</t>
        </is>
      </c>
      <c r="B88" t="inlineStr">
        <is>
          <t>21:00</t>
        </is>
      </c>
      <c r="C88" t="inlineStr">
        <is>
          <t>S11</t>
        </is>
      </c>
      <c r="D88" t="n">
        <v>1</v>
      </c>
      <c r="E88" t="inlineStr"/>
      <c r="F88" t="inlineStr"/>
      <c r="R88" s="2">
        <f>IF(G88&gt;0,K88/G88,"")</f>
        <v/>
      </c>
      <c r="S88" s="3">
        <f>IF(G88&gt;0,M88/G88*100,"")</f>
        <v/>
      </c>
      <c r="T88" s="3">
        <f>IF(G88&gt;0,N88/G88*100,"")</f>
        <v/>
      </c>
    </row>
    <row r="89">
      <c r="A89" t="inlineStr">
        <is>
          <t>2026-11-28</t>
        </is>
      </c>
      <c r="B89" t="inlineStr">
        <is>
          <t>21:00</t>
        </is>
      </c>
      <c r="C89" t="inlineStr">
        <is>
          <t>S11</t>
        </is>
      </c>
      <c r="D89" t="n">
        <v>2</v>
      </c>
      <c r="E89" t="inlineStr"/>
      <c r="F89" t="inlineStr">
        <is>
          <t>Question box: 'The book that changed how</t>
        </is>
      </c>
      <c r="R89" s="2">
        <f>IF(G89&gt;0,K89/G89,"")</f>
        <v/>
      </c>
      <c r="S89" s="3">
        <f>IF(G89&gt;0,M89/G89*100,"")</f>
        <v/>
      </c>
      <c r="T89" s="3">
        <f>IF(G89&gt;0,N89/G89*100,"")</f>
        <v/>
      </c>
    </row>
    <row r="90">
      <c r="A90" t="inlineStr">
        <is>
          <t>2026-11-29</t>
        </is>
      </c>
      <c r="B90" t="inlineStr">
        <is>
          <t>09:00</t>
        </is>
      </c>
      <c r="C90" t="inlineStr">
        <is>
          <t>S11</t>
        </is>
      </c>
      <c r="D90" t="n">
        <v>3</v>
      </c>
      <c r="E90" t="inlineStr"/>
      <c r="F90" t="inlineStr"/>
      <c r="R90" s="2">
        <f>IF(G90&gt;0,K90/G90,"")</f>
        <v/>
      </c>
      <c r="S90" s="3">
        <f>IF(G90&gt;0,M90/G90*100,"")</f>
        <v/>
      </c>
      <c r="T90" s="3">
        <f>IF(G90&gt;0,N90/G90*100,"")</f>
        <v/>
      </c>
    </row>
    <row r="91">
      <c r="A91" t="inlineStr">
        <is>
          <t>2026-11-29</t>
        </is>
      </c>
      <c r="B91" t="inlineStr">
        <is>
          <t>09:00</t>
        </is>
      </c>
      <c r="C91" t="inlineStr">
        <is>
          <t>S11</t>
        </is>
      </c>
      <c r="D91" t="n">
        <v>4</v>
      </c>
      <c r="E91" t="inlineStr"/>
      <c r="F91" t="inlineStr"/>
      <c r="R91" s="2">
        <f>IF(G91&gt;0,K91/G91,"")</f>
        <v/>
      </c>
      <c r="S91" s="3">
        <f>IF(G91&gt;0,M91/G91*100,"")</f>
        <v/>
      </c>
      <c r="T91" s="3">
        <f>IF(G91&gt;0,N91/G91*100,"")</f>
        <v/>
      </c>
    </row>
    <row r="92">
      <c r="A92" t="inlineStr">
        <is>
          <t>2026-11-29</t>
        </is>
      </c>
      <c r="B92" t="inlineStr">
        <is>
          <t>09:00</t>
        </is>
      </c>
      <c r="C92" t="inlineStr">
        <is>
          <t>S11</t>
        </is>
      </c>
      <c r="D92" t="n">
        <v>5</v>
      </c>
      <c r="E92" t="inlineStr"/>
      <c r="F92" t="inlineStr"/>
      <c r="R92" s="2">
        <f>IF(G92&gt;0,K92/G92,"")</f>
        <v/>
      </c>
      <c r="S92" s="3">
        <f>IF(G92&gt;0,M92/G92*100,"")</f>
        <v/>
      </c>
      <c r="T92" s="3">
        <f>IF(G92&gt;0,N92/G92*100,"")</f>
        <v/>
      </c>
    </row>
    <row r="93">
      <c r="A93" t="inlineStr">
        <is>
          <t>2026-11-29</t>
        </is>
      </c>
      <c r="B93" t="inlineStr">
        <is>
          <t>21:00</t>
        </is>
      </c>
      <c r="C93" t="inlineStr">
        <is>
          <t>C20</t>
        </is>
      </c>
      <c r="D93" t="n">
        <v>1</v>
      </c>
      <c r="E93" t="inlineStr"/>
      <c r="F93" t="inlineStr">
        <is>
          <t>Slider 🌧️ → ☀️</t>
        </is>
      </c>
      <c r="R93" s="2">
        <f>IF(G93&gt;0,K93/G93,"")</f>
        <v/>
      </c>
      <c r="S93" s="3">
        <f>IF(G93&gt;0,M93/G93*100,"")</f>
        <v/>
      </c>
      <c r="T93" s="3">
        <f>IF(G93&gt;0,N93/G93*100,"")</f>
        <v/>
      </c>
    </row>
    <row r="94">
      <c r="A94" t="inlineStr">
        <is>
          <t>2026-11-29</t>
        </is>
      </c>
      <c r="B94" t="inlineStr">
        <is>
          <t>21:00</t>
        </is>
      </c>
      <c r="C94" t="inlineStr">
        <is>
          <t>C20</t>
        </is>
      </c>
      <c r="D94" t="n">
        <v>2</v>
      </c>
      <c r="E94" t="inlineStr"/>
      <c r="F94" t="inlineStr"/>
      <c r="R94" s="2">
        <f>IF(G94&gt;0,K94/G94,"")</f>
        <v/>
      </c>
      <c r="S94" s="3">
        <f>IF(G94&gt;0,M94/G94*100,"")</f>
        <v/>
      </c>
      <c r="T94" s="3">
        <f>IF(G94&gt;0,N94/G94*100,"")</f>
        <v/>
      </c>
    </row>
    <row r="95">
      <c r="A95" t="inlineStr">
        <is>
          <t>2026-11-30</t>
        </is>
      </c>
      <c r="B95" t="inlineStr">
        <is>
          <t>09:00</t>
        </is>
      </c>
      <c r="C95" t="inlineStr">
        <is>
          <t>C20</t>
        </is>
      </c>
      <c r="D95" t="n">
        <v>3</v>
      </c>
      <c r="E95" t="inlineStr"/>
      <c r="F95" t="inlineStr"/>
      <c r="R95" s="2">
        <f>IF(G95&gt;0,K95/G95,"")</f>
        <v/>
      </c>
      <c r="S95" s="3">
        <f>IF(G95&gt;0,M95/G95*100,"")</f>
        <v/>
      </c>
      <c r="T95" s="3">
        <f>IF(G95&gt;0,N95/G95*100,"")</f>
        <v/>
      </c>
    </row>
    <row r="96">
      <c r="A96" t="inlineStr">
        <is>
          <t>2026-11-30</t>
        </is>
      </c>
      <c r="B96" t="inlineStr">
        <is>
          <t>09:00</t>
        </is>
      </c>
      <c r="C96" t="inlineStr">
        <is>
          <t>C20</t>
        </is>
      </c>
      <c r="D96" t="n">
        <v>4</v>
      </c>
      <c r="E96" t="inlineStr"/>
      <c r="F96" t="inlineStr"/>
      <c r="R96" s="2">
        <f>IF(G96&gt;0,K96/G96,"")</f>
        <v/>
      </c>
      <c r="S96" s="3">
        <f>IF(G96&gt;0,M96/G96*100,"")</f>
        <v/>
      </c>
      <c r="T96" s="3">
        <f>IF(G96&gt;0,N96/G96*100,"")</f>
        <v/>
      </c>
    </row>
    <row r="97">
      <c r="A97" t="inlineStr">
        <is>
          <t>2026-11-30</t>
        </is>
      </c>
      <c r="B97" t="inlineStr">
        <is>
          <t>21:00</t>
        </is>
      </c>
      <c r="C97" t="inlineStr">
        <is>
          <t>S05</t>
        </is>
      </c>
      <c r="D97" t="n">
        <v>1</v>
      </c>
      <c r="E97" t="inlineStr"/>
      <c r="F97" t="inlineStr"/>
      <c r="R97" s="2">
        <f>IF(G97&gt;0,K97/G97,"")</f>
        <v/>
      </c>
      <c r="S97" s="3">
        <f>IF(G97&gt;0,M97/G97*100,"")</f>
        <v/>
      </c>
      <c r="T97" s="3">
        <f>IF(G97&gt;0,N97/G97*100,"")</f>
        <v/>
      </c>
    </row>
    <row r="98">
      <c r="A98" t="inlineStr">
        <is>
          <t>2026-11-30</t>
        </is>
      </c>
      <c r="B98" t="inlineStr">
        <is>
          <t>21:00</t>
        </is>
      </c>
      <c r="C98" t="inlineStr">
        <is>
          <t>S05</t>
        </is>
      </c>
      <c r="D98" t="n">
        <v>2</v>
      </c>
      <c r="E98" t="inlineStr"/>
      <c r="F98" t="inlineStr">
        <is>
          <t>Poll sticker: Your view / The case again</t>
        </is>
      </c>
      <c r="R98" s="2">
        <f>IF(G98&gt;0,K98/G98,"")</f>
        <v/>
      </c>
      <c r="S98" s="3">
        <f>IF(G98&gt;0,M98/G98*100,"")</f>
        <v/>
      </c>
      <c r="T98" s="3">
        <f>IF(G98&gt;0,N98/G98*100,"")</f>
        <v/>
      </c>
    </row>
    <row r="99">
      <c r="A99" t="inlineStr">
        <is>
          <t>2026-11-30</t>
        </is>
      </c>
      <c r="B99" t="inlineStr">
        <is>
          <t>21:00</t>
        </is>
      </c>
      <c r="C99" t="inlineStr">
        <is>
          <t>S05</t>
        </is>
      </c>
      <c r="D99" t="n">
        <v>3</v>
      </c>
      <c r="E99" t="inlineStr"/>
      <c r="F99" t="inlineStr">
        <is>
          <t>Question box: 'Change my mind…'</t>
        </is>
      </c>
      <c r="R99" s="2">
        <f>IF(G99&gt;0,K99/G99,"")</f>
        <v/>
      </c>
      <c r="S99" s="3">
        <f>IF(G99&gt;0,M99/G99*100,"")</f>
        <v/>
      </c>
      <c r="T99" s="3">
        <f>IF(G99&gt;0,N99/G99*100,"")</f>
        <v/>
      </c>
    </row>
    <row r="100">
      <c r="A100" t="inlineStr">
        <is>
          <t>2026-12-01</t>
        </is>
      </c>
      <c r="B100" t="inlineStr">
        <is>
          <t>09:00</t>
        </is>
      </c>
      <c r="C100" t="inlineStr">
        <is>
          <t>S05</t>
        </is>
      </c>
      <c r="D100" t="n">
        <v>4</v>
      </c>
      <c r="E100" t="inlineStr"/>
      <c r="F100" t="inlineStr"/>
      <c r="R100" s="2">
        <f>IF(G100&gt;0,K100/G100,"")</f>
        <v/>
      </c>
      <c r="S100" s="3">
        <f>IF(G100&gt;0,M100/G100*100,"")</f>
        <v/>
      </c>
      <c r="T100" s="3">
        <f>IF(G100&gt;0,N100/G100*100,"")</f>
        <v/>
      </c>
    </row>
    <row r="101">
      <c r="A101" t="inlineStr">
        <is>
          <t>2026-12-01</t>
        </is>
      </c>
      <c r="B101" t="inlineStr">
        <is>
          <t>21:00</t>
        </is>
      </c>
      <c r="C101" t="inlineStr">
        <is>
          <t>S13</t>
        </is>
      </c>
      <c r="D101" t="n">
        <v>1</v>
      </c>
      <c r="E101" t="inlineStr"/>
      <c r="F101" t="inlineStr"/>
      <c r="R101" s="2">
        <f>IF(G101&gt;0,K101/G101,"")</f>
        <v/>
      </c>
      <c r="S101" s="3">
        <f>IF(G101&gt;0,M101/G101*100,"")</f>
        <v/>
      </c>
      <c r="T101" s="3">
        <f>IF(G101&gt;0,N101/G101*100,"")</f>
        <v/>
      </c>
    </row>
    <row r="102">
      <c r="A102" t="inlineStr">
        <is>
          <t>2026-12-01</t>
        </is>
      </c>
      <c r="B102" t="inlineStr">
        <is>
          <t>21:00</t>
        </is>
      </c>
      <c r="C102" t="inlineStr">
        <is>
          <t>S13</t>
        </is>
      </c>
      <c r="D102" t="n">
        <v>2</v>
      </c>
      <c r="E102" t="inlineStr"/>
      <c r="F102" t="inlineStr">
        <is>
          <t>Quiz sticker: A a bit happy / B as you'd</t>
        </is>
      </c>
      <c r="R102" s="2">
        <f>IF(G102&gt;0,K102/G102,"")</f>
        <v/>
      </c>
      <c r="S102" s="3">
        <f>IF(G102&gt;0,M102/G102*100,"")</f>
        <v/>
      </c>
      <c r="T102" s="3">
        <f>IF(G102&gt;0,N102/G102*100,"")</f>
        <v/>
      </c>
    </row>
    <row r="103">
      <c r="A103" t="inlineStr">
        <is>
          <t>2026-12-02</t>
        </is>
      </c>
      <c r="B103" t="inlineStr">
        <is>
          <t>09:00</t>
        </is>
      </c>
      <c r="C103" t="inlineStr">
        <is>
          <t>S13</t>
        </is>
      </c>
      <c r="D103" t="n">
        <v>3</v>
      </c>
      <c r="E103" t="inlineStr"/>
      <c r="F103" t="inlineStr"/>
      <c r="R103" s="2">
        <f>IF(G103&gt;0,K103/G103,"")</f>
        <v/>
      </c>
      <c r="S103" s="3">
        <f>IF(G103&gt;0,M103/G103*100,"")</f>
        <v/>
      </c>
      <c r="T103" s="3">
        <f>IF(G103&gt;0,N103/G103*100,"")</f>
        <v/>
      </c>
    </row>
    <row r="104">
      <c r="A104" t="inlineStr">
        <is>
          <t>2026-12-02</t>
        </is>
      </c>
      <c r="B104" t="inlineStr">
        <is>
          <t>09:00</t>
        </is>
      </c>
      <c r="C104" t="inlineStr">
        <is>
          <t>S13</t>
        </is>
      </c>
      <c r="D104" t="n">
        <v>4</v>
      </c>
      <c r="E104" t="inlineStr"/>
      <c r="F104" t="inlineStr">
        <is>
          <t>Question box: first name only, or just '</t>
        </is>
      </c>
      <c r="R104" s="2">
        <f>IF(G104&gt;0,K104/G104,"")</f>
        <v/>
      </c>
      <c r="S104" s="3">
        <f>IF(G104&gt;0,M104/G104*100,"")</f>
        <v/>
      </c>
      <c r="T104" s="3">
        <f>IF(G104&gt;0,N104/G104*100,"")</f>
        <v/>
      </c>
    </row>
    <row r="105">
      <c r="A105" t="inlineStr">
        <is>
          <t>2026-12-02</t>
        </is>
      </c>
      <c r="B105" t="inlineStr">
        <is>
          <t>09:00</t>
        </is>
      </c>
      <c r="C105" t="inlineStr">
        <is>
          <t>S13</t>
        </is>
      </c>
      <c r="D105" t="n">
        <v>5</v>
      </c>
      <c r="E105" t="inlineStr"/>
      <c r="F105" t="inlineStr"/>
      <c r="R105" s="2">
        <f>IF(G105&gt;0,K105/G105,"")</f>
        <v/>
      </c>
      <c r="S105" s="3">
        <f>IF(G105&gt;0,M105/G105*100,"")</f>
        <v/>
      </c>
      <c r="T105" s="3">
        <f>IF(G105&gt;0,N105/G105*100,"")</f>
        <v/>
      </c>
    </row>
    <row r="106">
      <c r="A106" t="inlineStr">
        <is>
          <t>2026-12-02</t>
        </is>
      </c>
      <c r="B106" t="inlineStr">
        <is>
          <t>21:00</t>
        </is>
      </c>
      <c r="C106" t="inlineStr">
        <is>
          <t>C42</t>
        </is>
      </c>
      <c r="D106" t="n">
        <v>1</v>
      </c>
      <c r="E106" t="inlineStr"/>
      <c r="F106" t="inlineStr">
        <is>
          <t>Question box: one word</t>
        </is>
      </c>
      <c r="R106" s="2">
        <f>IF(G106&gt;0,K106/G106,"")</f>
        <v/>
      </c>
      <c r="S106" s="3">
        <f>IF(G106&gt;0,M106/G106*100,"")</f>
        <v/>
      </c>
      <c r="T106" s="3">
        <f>IF(G106&gt;0,N106/G106*100,"")</f>
        <v/>
      </c>
    </row>
    <row r="107">
      <c r="A107" t="inlineStr">
        <is>
          <t>2026-12-02</t>
        </is>
      </c>
      <c r="B107" t="inlineStr">
        <is>
          <t>21:00</t>
        </is>
      </c>
      <c r="C107" t="inlineStr">
        <is>
          <t>C42</t>
        </is>
      </c>
      <c r="D107" t="n">
        <v>2</v>
      </c>
      <c r="E107" t="inlineStr"/>
      <c r="F107" t="inlineStr"/>
      <c r="R107" s="2">
        <f>IF(G107&gt;0,K107/G107,"")</f>
        <v/>
      </c>
      <c r="S107" s="3">
        <f>IF(G107&gt;0,M107/G107*100,"")</f>
        <v/>
      </c>
      <c r="T107" s="3">
        <f>IF(G107&gt;0,N107/G107*100,"")</f>
        <v/>
      </c>
    </row>
    <row r="108">
      <c r="A108" t="inlineStr">
        <is>
          <t>2026-12-03</t>
        </is>
      </c>
      <c r="B108" t="inlineStr">
        <is>
          <t>09:00</t>
        </is>
      </c>
      <c r="C108" t="inlineStr">
        <is>
          <t>C42</t>
        </is>
      </c>
      <c r="D108" t="n">
        <v>3</v>
      </c>
      <c r="E108" t="inlineStr"/>
      <c r="F108" t="inlineStr"/>
      <c r="R108" s="2">
        <f>IF(G108&gt;0,K108/G108,"")</f>
        <v/>
      </c>
      <c r="S108" s="3">
        <f>IF(G108&gt;0,M108/G108*100,"")</f>
        <v/>
      </c>
      <c r="T108" s="3">
        <f>IF(G108&gt;0,N108/G108*100,"")</f>
        <v/>
      </c>
    </row>
    <row r="109">
      <c r="A109" t="inlineStr">
        <is>
          <t>2026-12-03</t>
        </is>
      </c>
      <c r="B109" t="inlineStr">
        <is>
          <t>09:00</t>
        </is>
      </c>
      <c r="C109" t="inlineStr">
        <is>
          <t>C42</t>
        </is>
      </c>
      <c r="D109" t="n">
        <v>4</v>
      </c>
      <c r="E109" t="inlineStr"/>
      <c r="F109" t="inlineStr"/>
      <c r="R109" s="2">
        <f>IF(G109&gt;0,K109/G109,"")</f>
        <v/>
      </c>
      <c r="S109" s="3">
        <f>IF(G109&gt;0,M109/G109*100,"")</f>
        <v/>
      </c>
      <c r="T109" s="3">
        <f>IF(G109&gt;0,N109/G109*100,"")</f>
        <v/>
      </c>
    </row>
    <row r="110">
      <c r="A110" t="inlineStr">
        <is>
          <t>2026-12-03</t>
        </is>
      </c>
      <c r="B110" t="inlineStr">
        <is>
          <t>21:00</t>
        </is>
      </c>
      <c r="C110" t="inlineStr">
        <is>
          <t>C19</t>
        </is>
      </c>
      <c r="D110" t="n">
        <v>1</v>
      </c>
      <c r="E110" t="inlineStr"/>
      <c r="F110" t="inlineStr">
        <is>
          <t>Quiz: Real / Myth / Unclear (answer Uncl</t>
        </is>
      </c>
      <c r="R110" s="2">
        <f>IF(G110&gt;0,K110/G110,"")</f>
        <v/>
      </c>
      <c r="S110" s="3">
        <f>IF(G110&gt;0,M110/G110*100,"")</f>
        <v/>
      </c>
      <c r="T110" s="3">
        <f>IF(G110&gt;0,N110/G110*100,"")</f>
        <v/>
      </c>
    </row>
    <row r="111">
      <c r="A111" t="inlineStr">
        <is>
          <t>2026-12-03</t>
        </is>
      </c>
      <c r="B111" t="inlineStr">
        <is>
          <t>21:00</t>
        </is>
      </c>
      <c r="C111" t="inlineStr">
        <is>
          <t>C19</t>
        </is>
      </c>
      <c r="D111" t="n">
        <v>2</v>
      </c>
      <c r="E111" t="inlineStr"/>
      <c r="F111" t="inlineStr"/>
      <c r="R111" s="2">
        <f>IF(G111&gt;0,K111/G111,"")</f>
        <v/>
      </c>
      <c r="S111" s="3">
        <f>IF(G111&gt;0,M111/G111*100,"")</f>
        <v/>
      </c>
      <c r="T111" s="3">
        <f>IF(G111&gt;0,N111/G111*100,"")</f>
        <v/>
      </c>
    </row>
    <row r="112">
      <c r="A112" t="inlineStr">
        <is>
          <t>2026-12-04</t>
        </is>
      </c>
      <c r="B112" t="inlineStr">
        <is>
          <t>09:00</t>
        </is>
      </c>
      <c r="C112" t="inlineStr">
        <is>
          <t>C19</t>
        </is>
      </c>
      <c r="D112" t="n">
        <v>3</v>
      </c>
      <c r="E112" t="inlineStr"/>
      <c r="F112" t="inlineStr"/>
      <c r="R112" s="2">
        <f>IF(G112&gt;0,K112/G112,"")</f>
        <v/>
      </c>
      <c r="S112" s="3">
        <f>IF(G112&gt;0,M112/G112*100,"")</f>
        <v/>
      </c>
      <c r="T112" s="3">
        <f>IF(G112&gt;0,N112/G112*100,"")</f>
        <v/>
      </c>
    </row>
    <row r="113">
      <c r="A113" t="inlineStr">
        <is>
          <t>2026-12-04</t>
        </is>
      </c>
      <c r="B113" t="inlineStr">
        <is>
          <t>09:00</t>
        </is>
      </c>
      <c r="C113" t="inlineStr">
        <is>
          <t>C19</t>
        </is>
      </c>
      <c r="D113" t="n">
        <v>4</v>
      </c>
      <c r="E113" t="inlineStr"/>
      <c r="F113" t="inlineStr"/>
      <c r="R113" s="2">
        <f>IF(G113&gt;0,K113/G113,"")</f>
        <v/>
      </c>
      <c r="S113" s="3">
        <f>IF(G113&gt;0,M113/G113*100,"")</f>
        <v/>
      </c>
      <c r="T113" s="3">
        <f>IF(G113&gt;0,N113/G113*100,"")</f>
        <v/>
      </c>
    </row>
    <row r="114">
      <c r="A114" t="inlineStr">
        <is>
          <t>2026-12-04</t>
        </is>
      </c>
      <c r="B114" t="inlineStr">
        <is>
          <t>21:00</t>
        </is>
      </c>
      <c r="C114" t="inlineStr">
        <is>
          <t>X03</t>
        </is>
      </c>
      <c r="D114" t="n">
        <v>1</v>
      </c>
      <c r="E114" t="inlineStr"/>
      <c r="F114" t="inlineStr">
        <is>
          <t>Poll: History / Mind / Kindness</t>
        </is>
      </c>
      <c r="R114" s="2">
        <f>IF(G114&gt;0,K114/G114,"")</f>
        <v/>
      </c>
      <c r="S114" s="3">
        <f>IF(G114&gt;0,M114/G114*100,"")</f>
        <v/>
      </c>
      <c r="T114" s="3">
        <f>IF(G114&gt;0,N114/G114*100,"")</f>
        <v/>
      </c>
    </row>
    <row r="115">
      <c r="A115" t="inlineStr">
        <is>
          <t>2026-12-04</t>
        </is>
      </c>
      <c r="B115" t="inlineStr">
        <is>
          <t>21:00</t>
        </is>
      </c>
      <c r="C115" t="inlineStr">
        <is>
          <t>X03</t>
        </is>
      </c>
      <c r="D115" t="n">
        <v>2</v>
      </c>
      <c r="E115" t="inlineStr"/>
      <c r="F115" t="inlineStr"/>
      <c r="R115" s="2">
        <f>IF(G115&gt;0,K115/G115,"")</f>
        <v/>
      </c>
      <c r="S115" s="3">
        <f>IF(G115&gt;0,M115/G115*100,"")</f>
        <v/>
      </c>
      <c r="T115" s="3">
        <f>IF(G115&gt;0,N115/G115*100,"")</f>
        <v/>
      </c>
    </row>
    <row r="116">
      <c r="A116" t="inlineStr">
        <is>
          <t>2026-12-05</t>
        </is>
      </c>
      <c r="B116" t="inlineStr">
        <is>
          <t>09:00</t>
        </is>
      </c>
      <c r="C116" t="inlineStr">
        <is>
          <t>X03</t>
        </is>
      </c>
      <c r="D116" t="n">
        <v>3</v>
      </c>
      <c r="E116" t="inlineStr"/>
      <c r="F116" t="inlineStr"/>
      <c r="R116" s="2">
        <f>IF(G116&gt;0,K116/G116,"")</f>
        <v/>
      </c>
      <c r="S116" s="3">
        <f>IF(G116&gt;0,M116/G116*100,"")</f>
        <v/>
      </c>
      <c r="T116" s="3">
        <f>IF(G116&gt;0,N116/G116*100,"")</f>
        <v/>
      </c>
    </row>
    <row r="117">
      <c r="A117" t="inlineStr">
        <is>
          <t>2026-12-05</t>
        </is>
      </c>
      <c r="B117" t="inlineStr">
        <is>
          <t>09:00</t>
        </is>
      </c>
      <c r="C117" t="inlineStr">
        <is>
          <t>X03</t>
        </is>
      </c>
      <c r="D117" t="n">
        <v>4</v>
      </c>
      <c r="E117" t="inlineStr"/>
      <c r="F117" t="inlineStr"/>
      <c r="R117" s="2">
        <f>IF(G117&gt;0,K117/G117,"")</f>
        <v/>
      </c>
      <c r="S117" s="3">
        <f>IF(G117&gt;0,M117/G117*100,"")</f>
        <v/>
      </c>
      <c r="T117" s="3">
        <f>IF(G117&gt;0,N117/G117*100,"")</f>
        <v/>
      </c>
    </row>
    <row r="118">
      <c r="A118" t="inlineStr">
        <is>
          <t>2026-12-05</t>
        </is>
      </c>
      <c r="B118" t="inlineStr">
        <is>
          <t>21:00</t>
        </is>
      </c>
      <c r="C118" t="inlineStr">
        <is>
          <t>X02</t>
        </is>
      </c>
      <c r="D118" t="n">
        <v>1</v>
      </c>
      <c r="E118" t="inlineStr"/>
      <c r="F118" t="inlineStr">
        <is>
          <t>Add Yours sticker: 'A page worth keeping</t>
        </is>
      </c>
      <c r="R118" s="2">
        <f>IF(G118&gt;0,K118/G118,"")</f>
        <v/>
      </c>
      <c r="S118" s="3">
        <f>IF(G118&gt;0,M118/G118*100,"")</f>
        <v/>
      </c>
      <c r="T118" s="3">
        <f>IF(G118&gt;0,N118/G118*100,"")</f>
        <v/>
      </c>
    </row>
    <row r="119">
      <c r="A119" t="inlineStr">
        <is>
          <t>2026-12-05</t>
        </is>
      </c>
      <c r="B119" t="inlineStr">
        <is>
          <t>21:00</t>
        </is>
      </c>
      <c r="C119" t="inlineStr">
        <is>
          <t>X02</t>
        </is>
      </c>
      <c r="D119" t="n">
        <v>2</v>
      </c>
      <c r="E119" t="inlineStr"/>
      <c r="F119" t="inlineStr"/>
      <c r="R119" s="2">
        <f>IF(G119&gt;0,K119/G119,"")</f>
        <v/>
      </c>
      <c r="S119" s="3">
        <f>IF(G119&gt;0,M119/G119*100,"")</f>
        <v/>
      </c>
      <c r="T119" s="3">
        <f>IF(G119&gt;0,N119/G119*100,"")</f>
        <v/>
      </c>
    </row>
    <row r="120">
      <c r="A120" t="inlineStr">
        <is>
          <t>2026-12-06</t>
        </is>
      </c>
      <c r="B120" t="inlineStr">
        <is>
          <t>09:00</t>
        </is>
      </c>
      <c r="C120" t="inlineStr">
        <is>
          <t>X02</t>
        </is>
      </c>
      <c r="D120" t="n">
        <v>3</v>
      </c>
      <c r="E120" t="inlineStr"/>
      <c r="F120" t="inlineStr"/>
      <c r="R120" s="2">
        <f>IF(G120&gt;0,K120/G120,"")</f>
        <v/>
      </c>
      <c r="S120" s="3">
        <f>IF(G120&gt;0,M120/G120*100,"")</f>
        <v/>
      </c>
      <c r="T120" s="3">
        <f>IF(G120&gt;0,N120/G120*100,"")</f>
        <v/>
      </c>
    </row>
    <row r="121">
      <c r="A121" t="inlineStr">
        <is>
          <t>2026-12-06</t>
        </is>
      </c>
      <c r="B121" t="inlineStr">
        <is>
          <t>09:00</t>
        </is>
      </c>
      <c r="C121" t="inlineStr">
        <is>
          <t>X02</t>
        </is>
      </c>
      <c r="D121" t="n">
        <v>4</v>
      </c>
      <c r="E121" t="inlineStr"/>
      <c r="F121" t="inlineStr"/>
      <c r="R121" s="2">
        <f>IF(G121&gt;0,K121/G121,"")</f>
        <v/>
      </c>
      <c r="S121" s="3">
        <f>IF(G121&gt;0,M121/G121*100,"")</f>
        <v/>
      </c>
      <c r="T121" s="3">
        <f>IF(G121&gt;0,N121/G121*100,"")</f>
        <v/>
      </c>
    </row>
    <row r="122">
      <c r="A122" t="inlineStr">
        <is>
          <t>2026-12-06</t>
        </is>
      </c>
      <c r="B122" t="inlineStr">
        <is>
          <t>21:00</t>
        </is>
      </c>
      <c r="C122" t="inlineStr">
        <is>
          <t>C23</t>
        </is>
      </c>
      <c r="D122" t="n">
        <v>1</v>
      </c>
      <c r="E122" t="inlineStr"/>
      <c r="F122" t="inlineStr">
        <is>
          <t>Question box: 'Mine's the jaw. Yours?'</t>
        </is>
      </c>
      <c r="R122" s="2">
        <f>IF(G122&gt;0,K122/G122,"")</f>
        <v/>
      </c>
      <c r="S122" s="3">
        <f>IF(G122&gt;0,M122/G122*100,"")</f>
        <v/>
      </c>
      <c r="T122" s="3">
        <f>IF(G122&gt;0,N122/G122*100,"")</f>
        <v/>
      </c>
    </row>
    <row r="123">
      <c r="A123" t="inlineStr">
        <is>
          <t>2026-12-06</t>
        </is>
      </c>
      <c r="B123" t="inlineStr">
        <is>
          <t>21:00</t>
        </is>
      </c>
      <c r="C123" t="inlineStr">
        <is>
          <t>C23</t>
        </is>
      </c>
      <c r="D123" t="n">
        <v>2</v>
      </c>
      <c r="E123" t="inlineStr"/>
      <c r="F123" t="inlineStr"/>
      <c r="R123" s="2">
        <f>IF(G123&gt;0,K123/G123,"")</f>
        <v/>
      </c>
      <c r="S123" s="3">
        <f>IF(G123&gt;0,M123/G123*100,"")</f>
        <v/>
      </c>
      <c r="T123" s="3">
        <f>IF(G123&gt;0,N123/G123*100,"")</f>
        <v/>
      </c>
    </row>
    <row r="124">
      <c r="A124" t="inlineStr">
        <is>
          <t>2026-12-07</t>
        </is>
      </c>
      <c r="B124" t="inlineStr">
        <is>
          <t>09:00</t>
        </is>
      </c>
      <c r="C124" t="inlineStr">
        <is>
          <t>C23</t>
        </is>
      </c>
      <c r="D124" t="n">
        <v>3</v>
      </c>
      <c r="E124" t="inlineStr"/>
      <c r="F124" t="inlineStr"/>
      <c r="R124" s="2">
        <f>IF(G124&gt;0,K124/G124,"")</f>
        <v/>
      </c>
      <c r="S124" s="3">
        <f>IF(G124&gt;0,M124/G124*100,"")</f>
        <v/>
      </c>
      <c r="T124" s="3">
        <f>IF(G124&gt;0,N124/G124*100,"")</f>
        <v/>
      </c>
    </row>
    <row r="125">
      <c r="A125" t="inlineStr">
        <is>
          <t>2026-12-07</t>
        </is>
      </c>
      <c r="B125" t="inlineStr">
        <is>
          <t>09:00</t>
        </is>
      </c>
      <c r="C125" t="inlineStr">
        <is>
          <t>C23</t>
        </is>
      </c>
      <c r="D125" t="n">
        <v>4</v>
      </c>
      <c r="E125" t="inlineStr"/>
      <c r="F125" t="inlineStr"/>
      <c r="R125" s="2">
        <f>IF(G125&gt;0,K125/G125,"")</f>
        <v/>
      </c>
      <c r="S125" s="3">
        <f>IF(G125&gt;0,M125/G125*100,"")</f>
        <v/>
      </c>
      <c r="T125" s="3">
        <f>IF(G125&gt;0,N125/G125*100,"")</f>
        <v/>
      </c>
    </row>
    <row r="126">
      <c r="A126" t="inlineStr">
        <is>
          <t>2026-12-07</t>
        </is>
      </c>
      <c r="B126" t="inlineStr">
        <is>
          <t>21:00</t>
        </is>
      </c>
      <c r="C126" t="inlineStr">
        <is>
          <t>C37</t>
        </is>
      </c>
      <c r="D126" t="n">
        <v>1</v>
      </c>
      <c r="E126" t="inlineStr"/>
      <c r="F126" t="inlineStr">
        <is>
          <t>Question box</t>
        </is>
      </c>
      <c r="R126" s="2">
        <f>IF(G126&gt;0,K126/G126,"")</f>
        <v/>
      </c>
      <c r="S126" s="3">
        <f>IF(G126&gt;0,M126/G126*100,"")</f>
        <v/>
      </c>
      <c r="T126" s="3">
        <f>IF(G126&gt;0,N126/G126*100,"")</f>
        <v/>
      </c>
    </row>
    <row r="127">
      <c r="A127" t="inlineStr">
        <is>
          <t>2026-12-07</t>
        </is>
      </c>
      <c r="B127" t="inlineStr">
        <is>
          <t>21:00</t>
        </is>
      </c>
      <c r="C127" t="inlineStr">
        <is>
          <t>C37</t>
        </is>
      </c>
      <c r="D127" t="n">
        <v>2</v>
      </c>
      <c r="E127" t="inlineStr"/>
      <c r="F127" t="inlineStr"/>
      <c r="R127" s="2">
        <f>IF(G127&gt;0,K127/G127,"")</f>
        <v/>
      </c>
      <c r="S127" s="3">
        <f>IF(G127&gt;0,M127/G127*100,"")</f>
        <v/>
      </c>
      <c r="T127" s="3">
        <f>IF(G127&gt;0,N127/G127*100,"")</f>
        <v/>
      </c>
    </row>
    <row r="128">
      <c r="A128" t="inlineStr">
        <is>
          <t>2026-12-08</t>
        </is>
      </c>
      <c r="B128" t="inlineStr">
        <is>
          <t>09:00</t>
        </is>
      </c>
      <c r="C128" t="inlineStr">
        <is>
          <t>C37</t>
        </is>
      </c>
      <c r="D128" t="n">
        <v>3</v>
      </c>
      <c r="E128" t="inlineStr"/>
      <c r="F128" t="inlineStr"/>
      <c r="R128" s="2">
        <f>IF(G128&gt;0,K128/G128,"")</f>
        <v/>
      </c>
      <c r="S128" s="3">
        <f>IF(G128&gt;0,M128/G128*100,"")</f>
        <v/>
      </c>
      <c r="T128" s="3">
        <f>IF(G128&gt;0,N128/G128*100,"")</f>
        <v/>
      </c>
    </row>
    <row r="129">
      <c r="A129" t="inlineStr">
        <is>
          <t>2026-12-08</t>
        </is>
      </c>
      <c r="B129" t="inlineStr">
        <is>
          <t>09:00</t>
        </is>
      </c>
      <c r="C129" t="inlineStr">
        <is>
          <t>C37</t>
        </is>
      </c>
      <c r="D129" t="n">
        <v>4</v>
      </c>
      <c r="E129" t="inlineStr"/>
      <c r="F129" t="inlineStr"/>
      <c r="R129" s="2">
        <f>IF(G129&gt;0,K129/G129,"")</f>
        <v/>
      </c>
      <c r="S129" s="3">
        <f>IF(G129&gt;0,M129/G129*100,"")</f>
        <v/>
      </c>
      <c r="T129" s="3">
        <f>IF(G129&gt;0,N129/G129*100,"")</f>
        <v/>
      </c>
    </row>
  </sheetData>
  <dataValidations count="1">
    <dataValidation sqref="E2:E130" showDropDown="0" showInputMessage="0" showErrorMessage="0" allowBlank="1" type="list">
      <formula1>"auto,hand"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ref</t>
        </is>
      </c>
      <c r="B1" s="1" t="inlineStr">
        <is>
          <t>first-frame reach</t>
        </is>
      </c>
      <c r="C1" s="1" t="inlineStr">
        <is>
          <t>last-frame reach</t>
        </is>
      </c>
      <c r="D1" s="1" t="inlineStr">
        <is>
          <t>completion</t>
        </is>
      </c>
      <c r="E1" s="1" t="inlineStr">
        <is>
          <t>total replies</t>
        </is>
      </c>
      <c r="F1" s="1" t="inlineStr">
        <is>
          <t>replies per 100 reached (first frame)</t>
        </is>
      </c>
      <c r="G1" s="1" t="inlineStr">
        <is>
          <t>total sticker taps</t>
        </is>
      </c>
      <c r="H1" s="1" t="inlineStr">
        <is>
          <t>shares</t>
        </is>
      </c>
      <c r="I1" s="1" t="inlineStr">
        <is>
          <t>follows</t>
        </is>
      </c>
      <c r="J1" s="1" t="inlineStr">
        <is>
          <t>follows per 1,000 reached</t>
        </is>
      </c>
      <c r="K1" s="1" t="inlineStr">
        <is>
          <t>verdict (keep / tweak / drop)</t>
        </is>
      </c>
    </row>
    <row r="2">
      <c r="A2" t="inlineStr">
        <is>
          <t>S01</t>
        </is>
      </c>
      <c r="B2">
        <f>IFERROR(INDEX('Story log'!G:G,MATCH("S01",'Story log'!C:C,0)),"")</f>
        <v/>
      </c>
      <c r="C2">
        <f>IFERROR(LOOKUP(2,1/('Story log'!C2:C500="S01"),'Story log'!G2:G500),"")</f>
        <v/>
      </c>
      <c r="D2" s="2">
        <f>IF(AND(ISNUMBER(B2),B2&gt;0,ISNUMBER(C2)),C2/B2,"")</f>
        <v/>
      </c>
      <c r="E2">
        <f>SUMIF('Story log'!C:C,"S01",'Story log'!M:M)</f>
        <v/>
      </c>
      <c r="F2" s="3">
        <f>IF(AND(ISNUMBER(B2),B2&gt;0),E2/B2*100,"")</f>
        <v/>
      </c>
      <c r="G2">
        <f>SUMIF('Story log'!C:C,"S01",'Story log'!N:N)</f>
        <v/>
      </c>
      <c r="H2">
        <f>SUMIF('Story log'!C:C,"S01",'Story log'!O:O)</f>
        <v/>
      </c>
      <c r="I2">
        <f>SUMIF('Story log'!C:C,"S01",'Story log'!Q:Q)</f>
        <v/>
      </c>
      <c r="J2" s="3">
        <f>IF(AND(ISNUMBER(B2),B2&gt;0),I2/B2*1000,"")</f>
        <v/>
      </c>
    </row>
    <row r="3">
      <c r="A3" t="inlineStr">
        <is>
          <t>C28</t>
        </is>
      </c>
      <c r="B3">
        <f>IFERROR(INDEX('Story log'!G:G,MATCH("C28",'Story log'!C:C,0)),"")</f>
        <v/>
      </c>
      <c r="C3">
        <f>IFERROR(LOOKUP(2,1/('Story log'!C2:C500="C28"),'Story log'!G2:G500),"")</f>
        <v/>
      </c>
      <c r="D3" s="2">
        <f>IF(AND(ISNUMBER(B3),B3&gt;0,ISNUMBER(C3)),C3/B3,"")</f>
        <v/>
      </c>
      <c r="E3">
        <f>SUMIF('Story log'!C:C,"C28",'Story log'!M:M)</f>
        <v/>
      </c>
      <c r="F3" s="3">
        <f>IF(AND(ISNUMBER(B3),B3&gt;0),E3/B3*100,"")</f>
        <v/>
      </c>
      <c r="G3">
        <f>SUMIF('Story log'!C:C,"C28",'Story log'!N:N)</f>
        <v/>
      </c>
      <c r="H3">
        <f>SUMIF('Story log'!C:C,"C28",'Story log'!O:O)</f>
        <v/>
      </c>
      <c r="I3">
        <f>SUMIF('Story log'!C:C,"C28",'Story log'!Q:Q)</f>
        <v/>
      </c>
      <c r="J3" s="3">
        <f>IF(AND(ISNUMBER(B3),B3&gt;0),I3/B3*1000,"")</f>
        <v/>
      </c>
    </row>
    <row r="4">
      <c r="A4" t="inlineStr">
        <is>
          <t>S03</t>
        </is>
      </c>
      <c r="B4">
        <f>IFERROR(INDEX('Story log'!G:G,MATCH("S03",'Story log'!C:C,0)),"")</f>
        <v/>
      </c>
      <c r="C4">
        <f>IFERROR(LOOKUP(2,1/('Story log'!C2:C500="S03"),'Story log'!G2:G500),"")</f>
        <v/>
      </c>
      <c r="D4" s="2">
        <f>IF(AND(ISNUMBER(B4),B4&gt;0,ISNUMBER(C4)),C4/B4,"")</f>
        <v/>
      </c>
      <c r="E4">
        <f>SUMIF('Story log'!C:C,"S03",'Story log'!M:M)</f>
        <v/>
      </c>
      <c r="F4" s="3">
        <f>IF(AND(ISNUMBER(B4),B4&gt;0),E4/B4*100,"")</f>
        <v/>
      </c>
      <c r="G4">
        <f>SUMIF('Story log'!C:C,"S03",'Story log'!N:N)</f>
        <v/>
      </c>
      <c r="H4">
        <f>SUMIF('Story log'!C:C,"S03",'Story log'!O:O)</f>
        <v/>
      </c>
      <c r="I4">
        <f>SUMIF('Story log'!C:C,"S03",'Story log'!Q:Q)</f>
        <v/>
      </c>
      <c r="J4" s="3">
        <f>IF(AND(ISNUMBER(B4),B4&gt;0),I4/B4*1000,"")</f>
        <v/>
      </c>
    </row>
    <row r="5">
      <c r="A5" t="inlineStr">
        <is>
          <t>S07</t>
        </is>
      </c>
      <c r="B5">
        <f>IFERROR(INDEX('Story log'!G:G,MATCH("S07",'Story log'!C:C,0)),"")</f>
        <v/>
      </c>
      <c r="C5">
        <f>IFERROR(LOOKUP(2,1/('Story log'!C2:C500="S07"),'Story log'!G2:G500),"")</f>
        <v/>
      </c>
      <c r="D5" s="2">
        <f>IF(AND(ISNUMBER(B5),B5&gt;0,ISNUMBER(C5)),C5/B5,"")</f>
        <v/>
      </c>
      <c r="E5">
        <f>SUMIF('Story log'!C:C,"S07",'Story log'!M:M)</f>
        <v/>
      </c>
      <c r="F5" s="3">
        <f>IF(AND(ISNUMBER(B5),B5&gt;0),E5/B5*100,"")</f>
        <v/>
      </c>
      <c r="G5">
        <f>SUMIF('Story log'!C:C,"S07",'Story log'!N:N)</f>
        <v/>
      </c>
      <c r="H5">
        <f>SUMIF('Story log'!C:C,"S07",'Story log'!O:O)</f>
        <v/>
      </c>
      <c r="I5">
        <f>SUMIF('Story log'!C:C,"S07",'Story log'!Q:Q)</f>
        <v/>
      </c>
      <c r="J5" s="3">
        <f>IF(AND(ISNUMBER(B5),B5&gt;0),I5/B5*1000,"")</f>
        <v/>
      </c>
    </row>
    <row r="6">
      <c r="A6" t="inlineStr">
        <is>
          <t>S02</t>
        </is>
      </c>
      <c r="B6">
        <f>IFERROR(INDEX('Story log'!G:G,MATCH("S02",'Story log'!C:C,0)),"")</f>
        <v/>
      </c>
      <c r="C6">
        <f>IFERROR(LOOKUP(2,1/('Story log'!C2:C500="S02"),'Story log'!G2:G500),"")</f>
        <v/>
      </c>
      <c r="D6" s="2">
        <f>IF(AND(ISNUMBER(B6),B6&gt;0,ISNUMBER(C6)),C6/B6,"")</f>
        <v/>
      </c>
      <c r="E6">
        <f>SUMIF('Story log'!C:C,"S02",'Story log'!M:M)</f>
        <v/>
      </c>
      <c r="F6" s="3">
        <f>IF(AND(ISNUMBER(B6),B6&gt;0),E6/B6*100,"")</f>
        <v/>
      </c>
      <c r="G6">
        <f>SUMIF('Story log'!C:C,"S02",'Story log'!N:N)</f>
        <v/>
      </c>
      <c r="H6">
        <f>SUMIF('Story log'!C:C,"S02",'Story log'!O:O)</f>
        <v/>
      </c>
      <c r="I6">
        <f>SUMIF('Story log'!C:C,"S02",'Story log'!Q:Q)</f>
        <v/>
      </c>
      <c r="J6" s="3">
        <f>IF(AND(ISNUMBER(B6),B6&gt;0),I6/B6*1000,"")</f>
        <v/>
      </c>
    </row>
    <row r="7">
      <c r="A7" t="inlineStr">
        <is>
          <t>X03</t>
        </is>
      </c>
      <c r="B7">
        <f>IFERROR(INDEX('Story log'!G:G,MATCH("X03",'Story log'!C:C,0)),"")</f>
        <v/>
      </c>
      <c r="C7">
        <f>IFERROR(LOOKUP(2,1/('Story log'!C2:C500="X03"),'Story log'!G2:G500),"")</f>
        <v/>
      </c>
      <c r="D7" s="2">
        <f>IF(AND(ISNUMBER(B7),B7&gt;0,ISNUMBER(C7)),C7/B7,"")</f>
        <v/>
      </c>
      <c r="E7">
        <f>SUMIF('Story log'!C:C,"X03",'Story log'!M:M)</f>
        <v/>
      </c>
      <c r="F7" s="3">
        <f>IF(AND(ISNUMBER(B7),B7&gt;0),E7/B7*100,"")</f>
        <v/>
      </c>
      <c r="G7">
        <f>SUMIF('Story log'!C:C,"X03",'Story log'!N:N)</f>
        <v/>
      </c>
      <c r="H7">
        <f>SUMIF('Story log'!C:C,"X03",'Story log'!O:O)</f>
        <v/>
      </c>
      <c r="I7">
        <f>SUMIF('Story log'!C:C,"X03",'Story log'!Q:Q)</f>
        <v/>
      </c>
      <c r="J7" s="3">
        <f>IF(AND(ISNUMBER(B7),B7&gt;0),I7/B7*1000,"")</f>
        <v/>
      </c>
    </row>
    <row r="8">
      <c r="A8" t="inlineStr">
        <is>
          <t>C40</t>
        </is>
      </c>
      <c r="B8">
        <f>IFERROR(INDEX('Story log'!G:G,MATCH("C40",'Story log'!C:C,0)),"")</f>
        <v/>
      </c>
      <c r="C8">
        <f>IFERROR(LOOKUP(2,1/('Story log'!C2:C500="C40"),'Story log'!G2:G500),"")</f>
        <v/>
      </c>
      <c r="D8" s="2">
        <f>IF(AND(ISNUMBER(B8),B8&gt;0,ISNUMBER(C8)),C8/B8,"")</f>
        <v/>
      </c>
      <c r="E8">
        <f>SUMIF('Story log'!C:C,"C40",'Story log'!M:M)</f>
        <v/>
      </c>
      <c r="F8" s="3">
        <f>IF(AND(ISNUMBER(B8),B8&gt;0),E8/B8*100,"")</f>
        <v/>
      </c>
      <c r="G8">
        <f>SUMIF('Story log'!C:C,"C40",'Story log'!N:N)</f>
        <v/>
      </c>
      <c r="H8">
        <f>SUMIF('Story log'!C:C,"C40",'Story log'!O:O)</f>
        <v/>
      </c>
      <c r="I8">
        <f>SUMIF('Story log'!C:C,"C40",'Story log'!Q:Q)</f>
        <v/>
      </c>
      <c r="J8" s="3">
        <f>IF(AND(ISNUMBER(B8),B8&gt;0),I8/B8*1000,"")</f>
        <v/>
      </c>
    </row>
    <row r="9">
      <c r="A9" t="inlineStr">
        <is>
          <t>S08</t>
        </is>
      </c>
      <c r="B9">
        <f>IFERROR(INDEX('Story log'!G:G,MATCH("S08",'Story log'!C:C,0)),"")</f>
        <v/>
      </c>
      <c r="C9">
        <f>IFERROR(LOOKUP(2,1/('Story log'!C2:C500="S08"),'Story log'!G2:G500),"")</f>
        <v/>
      </c>
      <c r="D9" s="2">
        <f>IF(AND(ISNUMBER(B9),B9&gt;0,ISNUMBER(C9)),C9/B9,"")</f>
        <v/>
      </c>
      <c r="E9">
        <f>SUMIF('Story log'!C:C,"S08",'Story log'!M:M)</f>
        <v/>
      </c>
      <c r="F9" s="3">
        <f>IF(AND(ISNUMBER(B9),B9&gt;0),E9/B9*100,"")</f>
        <v/>
      </c>
      <c r="G9">
        <f>SUMIF('Story log'!C:C,"S08",'Story log'!N:N)</f>
        <v/>
      </c>
      <c r="H9">
        <f>SUMIF('Story log'!C:C,"S08",'Story log'!O:O)</f>
        <v/>
      </c>
      <c r="I9">
        <f>SUMIF('Story log'!C:C,"S08",'Story log'!Q:Q)</f>
        <v/>
      </c>
      <c r="J9" s="3">
        <f>IF(AND(ISNUMBER(B9),B9&gt;0),I9/B9*1000,"")</f>
        <v/>
      </c>
    </row>
    <row r="10">
      <c r="A10" t="inlineStr">
        <is>
          <t>S12</t>
        </is>
      </c>
      <c r="B10">
        <f>IFERROR(INDEX('Story log'!G:G,MATCH("S12",'Story log'!C:C,0)),"")</f>
        <v/>
      </c>
      <c r="C10">
        <f>IFERROR(LOOKUP(2,1/('Story log'!C2:C500="S12"),'Story log'!G2:G500),"")</f>
        <v/>
      </c>
      <c r="D10" s="2">
        <f>IF(AND(ISNUMBER(B10),B10&gt;0,ISNUMBER(C10)),C10/B10,"")</f>
        <v/>
      </c>
      <c r="E10">
        <f>SUMIF('Story log'!C:C,"S12",'Story log'!M:M)</f>
        <v/>
      </c>
      <c r="F10" s="3">
        <f>IF(AND(ISNUMBER(B10),B10&gt;0),E10/B10*100,"")</f>
        <v/>
      </c>
      <c r="G10">
        <f>SUMIF('Story log'!C:C,"S12",'Story log'!N:N)</f>
        <v/>
      </c>
      <c r="H10">
        <f>SUMIF('Story log'!C:C,"S12",'Story log'!O:O)</f>
        <v/>
      </c>
      <c r="I10">
        <f>SUMIF('Story log'!C:C,"S12",'Story log'!Q:Q)</f>
        <v/>
      </c>
      <c r="J10" s="3">
        <f>IF(AND(ISNUMBER(B10),B10&gt;0),I10/B10*1000,"")</f>
        <v/>
      </c>
    </row>
    <row r="11">
      <c r="A11" t="inlineStr">
        <is>
          <t>S04</t>
        </is>
      </c>
      <c r="B11">
        <f>IFERROR(INDEX('Story log'!G:G,MATCH("S04",'Story log'!C:C,0)),"")</f>
        <v/>
      </c>
      <c r="C11">
        <f>IFERROR(LOOKUP(2,1/('Story log'!C2:C500="S04"),'Story log'!G2:G500),"")</f>
        <v/>
      </c>
      <c r="D11" s="2">
        <f>IF(AND(ISNUMBER(B11),B11&gt;0,ISNUMBER(C11)),C11/B11,"")</f>
        <v/>
      </c>
      <c r="E11">
        <f>SUMIF('Story log'!C:C,"S04",'Story log'!M:M)</f>
        <v/>
      </c>
      <c r="F11" s="3">
        <f>IF(AND(ISNUMBER(B11),B11&gt;0),E11/B11*100,"")</f>
        <v/>
      </c>
      <c r="G11">
        <f>SUMIF('Story log'!C:C,"S04",'Story log'!N:N)</f>
        <v/>
      </c>
      <c r="H11">
        <f>SUMIF('Story log'!C:C,"S04",'Story log'!O:O)</f>
        <v/>
      </c>
      <c r="I11">
        <f>SUMIF('Story log'!C:C,"S04",'Story log'!Q:Q)</f>
        <v/>
      </c>
      <c r="J11" s="3">
        <f>IF(AND(ISNUMBER(B11),B11&gt;0),I11/B11*1000,"")</f>
        <v/>
      </c>
    </row>
    <row r="12">
      <c r="A12" t="inlineStr">
        <is>
          <t>C45</t>
        </is>
      </c>
      <c r="B12">
        <f>IFERROR(INDEX('Story log'!G:G,MATCH("C45",'Story log'!C:C,0)),"")</f>
        <v/>
      </c>
      <c r="C12">
        <f>IFERROR(LOOKUP(2,1/('Story log'!C2:C500="C45"),'Story log'!G2:G500),"")</f>
        <v/>
      </c>
      <c r="D12" s="2">
        <f>IF(AND(ISNUMBER(B12),B12&gt;0,ISNUMBER(C12)),C12/B12,"")</f>
        <v/>
      </c>
      <c r="E12">
        <f>SUMIF('Story log'!C:C,"C45",'Story log'!M:M)</f>
        <v/>
      </c>
      <c r="F12" s="3">
        <f>IF(AND(ISNUMBER(B12),B12&gt;0),E12/B12*100,"")</f>
        <v/>
      </c>
      <c r="G12">
        <f>SUMIF('Story log'!C:C,"C45",'Story log'!N:N)</f>
        <v/>
      </c>
      <c r="H12">
        <f>SUMIF('Story log'!C:C,"C45",'Story log'!O:O)</f>
        <v/>
      </c>
      <c r="I12">
        <f>SUMIF('Story log'!C:C,"C45",'Story log'!Q:Q)</f>
        <v/>
      </c>
      <c r="J12" s="3">
        <f>IF(AND(ISNUMBER(B12),B12&gt;0),I12/B12*1000,"")</f>
        <v/>
      </c>
    </row>
    <row r="13">
      <c r="A13" t="inlineStr">
        <is>
          <t>S10</t>
        </is>
      </c>
      <c r="B13">
        <f>IFERROR(INDEX('Story log'!G:G,MATCH("S10",'Story log'!C:C,0)),"")</f>
        <v/>
      </c>
      <c r="C13">
        <f>IFERROR(LOOKUP(2,1/('Story log'!C2:C500="S10"),'Story log'!G2:G500),"")</f>
        <v/>
      </c>
      <c r="D13" s="2">
        <f>IF(AND(ISNUMBER(B13),B13&gt;0,ISNUMBER(C13)),C13/B13,"")</f>
        <v/>
      </c>
      <c r="E13">
        <f>SUMIF('Story log'!C:C,"S10",'Story log'!M:M)</f>
        <v/>
      </c>
      <c r="F13" s="3">
        <f>IF(AND(ISNUMBER(B13),B13&gt;0),E13/B13*100,"")</f>
        <v/>
      </c>
      <c r="G13">
        <f>SUMIF('Story log'!C:C,"S10",'Story log'!N:N)</f>
        <v/>
      </c>
      <c r="H13">
        <f>SUMIF('Story log'!C:C,"S10",'Story log'!O:O)</f>
        <v/>
      </c>
      <c r="I13">
        <f>SUMIF('Story log'!C:C,"S10",'Story log'!Q:Q)</f>
        <v/>
      </c>
      <c r="J13" s="3">
        <f>IF(AND(ISNUMBER(B13),B13&gt;0),I13/B13*1000,"")</f>
        <v/>
      </c>
    </row>
    <row r="14">
      <c r="A14" t="inlineStr">
        <is>
          <t>X03</t>
        </is>
      </c>
      <c r="B14">
        <f>IFERROR(INDEX('Story log'!G:G,MATCH("X03",'Story log'!C:C,0)),"")</f>
        <v/>
      </c>
      <c r="C14">
        <f>IFERROR(LOOKUP(2,1/('Story log'!C2:C500="X03"),'Story log'!G2:G500),"")</f>
        <v/>
      </c>
      <c r="D14" s="2">
        <f>IF(AND(ISNUMBER(B14),B14&gt;0,ISNUMBER(C14)),C14/B14,"")</f>
        <v/>
      </c>
      <c r="E14">
        <f>SUMIF('Story log'!C:C,"X03",'Story log'!M:M)</f>
        <v/>
      </c>
      <c r="F14" s="3">
        <f>IF(AND(ISNUMBER(B14),B14&gt;0),E14/B14*100,"")</f>
        <v/>
      </c>
      <c r="G14">
        <f>SUMIF('Story log'!C:C,"X03",'Story log'!N:N)</f>
        <v/>
      </c>
      <c r="H14">
        <f>SUMIF('Story log'!C:C,"X03",'Story log'!O:O)</f>
        <v/>
      </c>
      <c r="I14">
        <f>SUMIF('Story log'!C:C,"X03",'Story log'!Q:Q)</f>
        <v/>
      </c>
      <c r="J14" s="3">
        <f>IF(AND(ISNUMBER(B14),B14&gt;0),I14/B14*1000,"")</f>
        <v/>
      </c>
    </row>
    <row r="15">
      <c r="A15" t="inlineStr">
        <is>
          <t>S06</t>
        </is>
      </c>
      <c r="B15">
        <f>IFERROR(INDEX('Story log'!G:G,MATCH("S06",'Story log'!C:C,0)),"")</f>
        <v/>
      </c>
      <c r="C15">
        <f>IFERROR(LOOKUP(2,1/('Story log'!C2:C500="S06"),'Story log'!G2:G500),"")</f>
        <v/>
      </c>
      <c r="D15" s="2">
        <f>IF(AND(ISNUMBER(B15),B15&gt;0,ISNUMBER(C15)),C15/B15,"")</f>
        <v/>
      </c>
      <c r="E15">
        <f>SUMIF('Story log'!C:C,"S06",'Story log'!M:M)</f>
        <v/>
      </c>
      <c r="F15" s="3">
        <f>IF(AND(ISNUMBER(B15),B15&gt;0),E15/B15*100,"")</f>
        <v/>
      </c>
      <c r="G15">
        <f>SUMIF('Story log'!C:C,"S06",'Story log'!N:N)</f>
        <v/>
      </c>
      <c r="H15">
        <f>SUMIF('Story log'!C:C,"S06",'Story log'!O:O)</f>
        <v/>
      </c>
      <c r="I15">
        <f>SUMIF('Story log'!C:C,"S06",'Story log'!Q:Q)</f>
        <v/>
      </c>
      <c r="J15" s="3">
        <f>IF(AND(ISNUMBER(B15),B15&gt;0),I15/B15*1000,"")</f>
        <v/>
      </c>
    </row>
    <row r="16">
      <c r="A16" t="inlineStr">
        <is>
          <t>S15</t>
        </is>
      </c>
      <c r="B16">
        <f>IFERROR(INDEX('Story log'!G:G,MATCH("S15",'Story log'!C:C,0)),"")</f>
        <v/>
      </c>
      <c r="C16">
        <f>IFERROR(LOOKUP(2,1/('Story log'!C2:C500="S15"),'Story log'!G2:G500),"")</f>
        <v/>
      </c>
      <c r="D16" s="2">
        <f>IF(AND(ISNUMBER(B16),B16&gt;0,ISNUMBER(C16)),C16/B16,"")</f>
        <v/>
      </c>
      <c r="E16">
        <f>SUMIF('Story log'!C:C,"S15",'Story log'!M:M)</f>
        <v/>
      </c>
      <c r="F16" s="3">
        <f>IF(AND(ISNUMBER(B16),B16&gt;0),E16/B16*100,"")</f>
        <v/>
      </c>
      <c r="G16">
        <f>SUMIF('Story log'!C:C,"S15",'Story log'!N:N)</f>
        <v/>
      </c>
      <c r="H16">
        <f>SUMIF('Story log'!C:C,"S15",'Story log'!O:O)</f>
        <v/>
      </c>
      <c r="I16">
        <f>SUMIF('Story log'!C:C,"S15",'Story log'!Q:Q)</f>
        <v/>
      </c>
      <c r="J16" s="3">
        <f>IF(AND(ISNUMBER(B16),B16&gt;0),I16/B16*1000,"")</f>
        <v/>
      </c>
    </row>
    <row r="17">
      <c r="A17" t="inlineStr">
        <is>
          <t>C35</t>
        </is>
      </c>
      <c r="B17">
        <f>IFERROR(INDEX('Story log'!G:G,MATCH("C35",'Story log'!C:C,0)),"")</f>
        <v/>
      </c>
      <c r="C17">
        <f>IFERROR(LOOKUP(2,1/('Story log'!C2:C500="C35"),'Story log'!G2:G500),"")</f>
        <v/>
      </c>
      <c r="D17" s="2">
        <f>IF(AND(ISNUMBER(B17),B17&gt;0,ISNUMBER(C17)),C17/B17,"")</f>
        <v/>
      </c>
      <c r="E17">
        <f>SUMIF('Story log'!C:C,"C35",'Story log'!M:M)</f>
        <v/>
      </c>
      <c r="F17" s="3">
        <f>IF(AND(ISNUMBER(B17),B17&gt;0),E17/B17*100,"")</f>
        <v/>
      </c>
      <c r="G17">
        <f>SUMIF('Story log'!C:C,"C35",'Story log'!N:N)</f>
        <v/>
      </c>
      <c r="H17">
        <f>SUMIF('Story log'!C:C,"C35",'Story log'!O:O)</f>
        <v/>
      </c>
      <c r="I17">
        <f>SUMIF('Story log'!C:C,"C35",'Story log'!Q:Q)</f>
        <v/>
      </c>
      <c r="J17" s="3">
        <f>IF(AND(ISNUMBER(B17),B17&gt;0),I17/B17*1000,"")</f>
        <v/>
      </c>
    </row>
    <row r="18">
      <c r="A18" t="inlineStr">
        <is>
          <t>S09</t>
        </is>
      </c>
      <c r="B18">
        <f>IFERROR(INDEX('Story log'!G:G,MATCH("S09",'Story log'!C:C,0)),"")</f>
        <v/>
      </c>
      <c r="C18">
        <f>IFERROR(LOOKUP(2,1/('Story log'!C2:C500="S09"),'Story log'!G2:G500),"")</f>
        <v/>
      </c>
      <c r="D18" s="2">
        <f>IF(AND(ISNUMBER(B18),B18&gt;0,ISNUMBER(C18)),C18/B18,"")</f>
        <v/>
      </c>
      <c r="E18">
        <f>SUMIF('Story log'!C:C,"S09",'Story log'!M:M)</f>
        <v/>
      </c>
      <c r="F18" s="3">
        <f>IF(AND(ISNUMBER(B18),B18&gt;0),E18/B18*100,"")</f>
        <v/>
      </c>
      <c r="G18">
        <f>SUMIF('Story log'!C:C,"S09",'Story log'!N:N)</f>
        <v/>
      </c>
      <c r="H18">
        <f>SUMIF('Story log'!C:C,"S09",'Story log'!O:O)</f>
        <v/>
      </c>
      <c r="I18">
        <f>SUMIF('Story log'!C:C,"S09",'Story log'!Q:Q)</f>
        <v/>
      </c>
      <c r="J18" s="3">
        <f>IF(AND(ISNUMBER(B18),B18&gt;0),I18/B18*1000,"")</f>
        <v/>
      </c>
    </row>
    <row r="19">
      <c r="A19" t="inlineStr">
        <is>
          <t>S14</t>
        </is>
      </c>
      <c r="B19">
        <f>IFERROR(INDEX('Story log'!G:G,MATCH("S14",'Story log'!C:C,0)),"")</f>
        <v/>
      </c>
      <c r="C19">
        <f>IFERROR(LOOKUP(2,1/('Story log'!C2:C500="S14"),'Story log'!G2:G500),"")</f>
        <v/>
      </c>
      <c r="D19" s="2">
        <f>IF(AND(ISNUMBER(B19),B19&gt;0,ISNUMBER(C19)),C19/B19,"")</f>
        <v/>
      </c>
      <c r="E19">
        <f>SUMIF('Story log'!C:C,"S14",'Story log'!M:M)</f>
        <v/>
      </c>
      <c r="F19" s="3">
        <f>IF(AND(ISNUMBER(B19),B19&gt;0),E19/B19*100,"")</f>
        <v/>
      </c>
      <c r="G19">
        <f>SUMIF('Story log'!C:C,"S14",'Story log'!N:N)</f>
        <v/>
      </c>
      <c r="H19">
        <f>SUMIF('Story log'!C:C,"S14",'Story log'!O:O)</f>
        <v/>
      </c>
      <c r="I19">
        <f>SUMIF('Story log'!C:C,"S14",'Story log'!Q:Q)</f>
        <v/>
      </c>
      <c r="J19" s="3">
        <f>IF(AND(ISNUMBER(B19),B19&gt;0),I19/B19*1000,"")</f>
        <v/>
      </c>
    </row>
    <row r="20">
      <c r="A20" t="inlineStr">
        <is>
          <t>C41</t>
        </is>
      </c>
      <c r="B20">
        <f>IFERROR(INDEX('Story log'!G:G,MATCH("C41",'Story log'!C:C,0)),"")</f>
        <v/>
      </c>
      <c r="C20">
        <f>IFERROR(LOOKUP(2,1/('Story log'!C2:C500="C41"),'Story log'!G2:G500),"")</f>
        <v/>
      </c>
      <c r="D20" s="2">
        <f>IF(AND(ISNUMBER(B20),B20&gt;0,ISNUMBER(C20)),C20/B20,"")</f>
        <v/>
      </c>
      <c r="E20">
        <f>SUMIF('Story log'!C:C,"C41",'Story log'!M:M)</f>
        <v/>
      </c>
      <c r="F20" s="3">
        <f>IF(AND(ISNUMBER(B20),B20&gt;0),E20/B20*100,"")</f>
        <v/>
      </c>
      <c r="G20">
        <f>SUMIF('Story log'!C:C,"C41",'Story log'!N:N)</f>
        <v/>
      </c>
      <c r="H20">
        <f>SUMIF('Story log'!C:C,"C41",'Story log'!O:O)</f>
        <v/>
      </c>
      <c r="I20">
        <f>SUMIF('Story log'!C:C,"C41",'Story log'!Q:Q)</f>
        <v/>
      </c>
      <c r="J20" s="3">
        <f>IF(AND(ISNUMBER(B20),B20&gt;0),I20/B20*1000,"")</f>
        <v/>
      </c>
    </row>
    <row r="21">
      <c r="A21" t="inlineStr">
        <is>
          <t>X03</t>
        </is>
      </c>
      <c r="B21">
        <f>IFERROR(INDEX('Story log'!G:G,MATCH("X03",'Story log'!C:C,0)),"")</f>
        <v/>
      </c>
      <c r="C21">
        <f>IFERROR(LOOKUP(2,1/('Story log'!C2:C500="X03"),'Story log'!G2:G500),"")</f>
        <v/>
      </c>
      <c r="D21" s="2">
        <f>IF(AND(ISNUMBER(B21),B21&gt;0,ISNUMBER(C21)),C21/B21,"")</f>
        <v/>
      </c>
      <c r="E21">
        <f>SUMIF('Story log'!C:C,"X03",'Story log'!M:M)</f>
        <v/>
      </c>
      <c r="F21" s="3">
        <f>IF(AND(ISNUMBER(B21),B21&gt;0),E21/B21*100,"")</f>
        <v/>
      </c>
      <c r="G21">
        <f>SUMIF('Story log'!C:C,"X03",'Story log'!N:N)</f>
        <v/>
      </c>
      <c r="H21">
        <f>SUMIF('Story log'!C:C,"X03",'Story log'!O:O)</f>
        <v/>
      </c>
      <c r="I21">
        <f>SUMIF('Story log'!C:C,"X03",'Story log'!Q:Q)</f>
        <v/>
      </c>
      <c r="J21" s="3">
        <f>IF(AND(ISNUMBER(B21),B21&gt;0),I21/B21*1000,"")</f>
        <v/>
      </c>
    </row>
    <row r="22">
      <c r="A22" t="inlineStr">
        <is>
          <t>S11</t>
        </is>
      </c>
      <c r="B22">
        <f>IFERROR(INDEX('Story log'!G:G,MATCH("S11",'Story log'!C:C,0)),"")</f>
        <v/>
      </c>
      <c r="C22">
        <f>IFERROR(LOOKUP(2,1/('Story log'!C2:C500="S11"),'Story log'!G2:G500),"")</f>
        <v/>
      </c>
      <c r="D22" s="2">
        <f>IF(AND(ISNUMBER(B22),B22&gt;0,ISNUMBER(C22)),C22/B22,"")</f>
        <v/>
      </c>
      <c r="E22">
        <f>SUMIF('Story log'!C:C,"S11",'Story log'!M:M)</f>
        <v/>
      </c>
      <c r="F22" s="3">
        <f>IF(AND(ISNUMBER(B22),B22&gt;0),E22/B22*100,"")</f>
        <v/>
      </c>
      <c r="G22">
        <f>SUMIF('Story log'!C:C,"S11",'Story log'!N:N)</f>
        <v/>
      </c>
      <c r="H22">
        <f>SUMIF('Story log'!C:C,"S11",'Story log'!O:O)</f>
        <v/>
      </c>
      <c r="I22">
        <f>SUMIF('Story log'!C:C,"S11",'Story log'!Q:Q)</f>
        <v/>
      </c>
      <c r="J22" s="3">
        <f>IF(AND(ISNUMBER(B22),B22&gt;0),I22/B22*1000,"")</f>
        <v/>
      </c>
    </row>
    <row r="23">
      <c r="A23" t="inlineStr">
        <is>
          <t>C20</t>
        </is>
      </c>
      <c r="B23">
        <f>IFERROR(INDEX('Story log'!G:G,MATCH("C20",'Story log'!C:C,0)),"")</f>
        <v/>
      </c>
      <c r="C23">
        <f>IFERROR(LOOKUP(2,1/('Story log'!C2:C500="C20"),'Story log'!G2:G500),"")</f>
        <v/>
      </c>
      <c r="D23" s="2">
        <f>IF(AND(ISNUMBER(B23),B23&gt;0,ISNUMBER(C23)),C23/B23,"")</f>
        <v/>
      </c>
      <c r="E23">
        <f>SUMIF('Story log'!C:C,"C20",'Story log'!M:M)</f>
        <v/>
      </c>
      <c r="F23" s="3">
        <f>IF(AND(ISNUMBER(B23),B23&gt;0),E23/B23*100,"")</f>
        <v/>
      </c>
      <c r="G23">
        <f>SUMIF('Story log'!C:C,"C20",'Story log'!N:N)</f>
        <v/>
      </c>
      <c r="H23">
        <f>SUMIF('Story log'!C:C,"C20",'Story log'!O:O)</f>
        <v/>
      </c>
      <c r="I23">
        <f>SUMIF('Story log'!C:C,"C20",'Story log'!Q:Q)</f>
        <v/>
      </c>
      <c r="J23" s="3">
        <f>IF(AND(ISNUMBER(B23),B23&gt;0),I23/B23*1000,"")</f>
        <v/>
      </c>
    </row>
    <row r="24">
      <c r="A24" t="inlineStr">
        <is>
          <t>S05</t>
        </is>
      </c>
      <c r="B24">
        <f>IFERROR(INDEX('Story log'!G:G,MATCH("S05",'Story log'!C:C,0)),"")</f>
        <v/>
      </c>
      <c r="C24">
        <f>IFERROR(LOOKUP(2,1/('Story log'!C2:C500="S05"),'Story log'!G2:G500),"")</f>
        <v/>
      </c>
      <c r="D24" s="2">
        <f>IF(AND(ISNUMBER(B24),B24&gt;0,ISNUMBER(C24)),C24/B24,"")</f>
        <v/>
      </c>
      <c r="E24">
        <f>SUMIF('Story log'!C:C,"S05",'Story log'!M:M)</f>
        <v/>
      </c>
      <c r="F24" s="3">
        <f>IF(AND(ISNUMBER(B24),B24&gt;0),E24/B24*100,"")</f>
        <v/>
      </c>
      <c r="G24">
        <f>SUMIF('Story log'!C:C,"S05",'Story log'!N:N)</f>
        <v/>
      </c>
      <c r="H24">
        <f>SUMIF('Story log'!C:C,"S05",'Story log'!O:O)</f>
        <v/>
      </c>
      <c r="I24">
        <f>SUMIF('Story log'!C:C,"S05",'Story log'!Q:Q)</f>
        <v/>
      </c>
      <c r="J24" s="3">
        <f>IF(AND(ISNUMBER(B24),B24&gt;0),I24/B24*1000,"")</f>
        <v/>
      </c>
    </row>
    <row r="25">
      <c r="A25" t="inlineStr">
        <is>
          <t>S13</t>
        </is>
      </c>
      <c r="B25">
        <f>IFERROR(INDEX('Story log'!G:G,MATCH("S13",'Story log'!C:C,0)),"")</f>
        <v/>
      </c>
      <c r="C25">
        <f>IFERROR(LOOKUP(2,1/('Story log'!C2:C500="S13"),'Story log'!G2:G500),"")</f>
        <v/>
      </c>
      <c r="D25" s="2">
        <f>IF(AND(ISNUMBER(B25),B25&gt;0,ISNUMBER(C25)),C25/B25,"")</f>
        <v/>
      </c>
      <c r="E25">
        <f>SUMIF('Story log'!C:C,"S13",'Story log'!M:M)</f>
        <v/>
      </c>
      <c r="F25" s="3">
        <f>IF(AND(ISNUMBER(B25),B25&gt;0),E25/B25*100,"")</f>
        <v/>
      </c>
      <c r="G25">
        <f>SUMIF('Story log'!C:C,"S13",'Story log'!N:N)</f>
        <v/>
      </c>
      <c r="H25">
        <f>SUMIF('Story log'!C:C,"S13",'Story log'!O:O)</f>
        <v/>
      </c>
      <c r="I25">
        <f>SUMIF('Story log'!C:C,"S13",'Story log'!Q:Q)</f>
        <v/>
      </c>
      <c r="J25" s="3">
        <f>IF(AND(ISNUMBER(B25),B25&gt;0),I25/B25*1000,"")</f>
        <v/>
      </c>
    </row>
    <row r="26">
      <c r="A26" t="inlineStr">
        <is>
          <t>C42</t>
        </is>
      </c>
      <c r="B26">
        <f>IFERROR(INDEX('Story log'!G:G,MATCH("C42",'Story log'!C:C,0)),"")</f>
        <v/>
      </c>
      <c r="C26">
        <f>IFERROR(LOOKUP(2,1/('Story log'!C2:C500="C42"),'Story log'!G2:G500),"")</f>
        <v/>
      </c>
      <c r="D26" s="2">
        <f>IF(AND(ISNUMBER(B26),B26&gt;0,ISNUMBER(C26)),C26/B26,"")</f>
        <v/>
      </c>
      <c r="E26">
        <f>SUMIF('Story log'!C:C,"C42",'Story log'!M:M)</f>
        <v/>
      </c>
      <c r="F26" s="3">
        <f>IF(AND(ISNUMBER(B26),B26&gt;0),E26/B26*100,"")</f>
        <v/>
      </c>
      <c r="G26">
        <f>SUMIF('Story log'!C:C,"C42",'Story log'!N:N)</f>
        <v/>
      </c>
      <c r="H26">
        <f>SUMIF('Story log'!C:C,"C42",'Story log'!O:O)</f>
        <v/>
      </c>
      <c r="I26">
        <f>SUMIF('Story log'!C:C,"C42",'Story log'!Q:Q)</f>
        <v/>
      </c>
      <c r="J26" s="3">
        <f>IF(AND(ISNUMBER(B26),B26&gt;0),I26/B26*1000,"")</f>
        <v/>
      </c>
    </row>
    <row r="27">
      <c r="A27" t="inlineStr">
        <is>
          <t>C19</t>
        </is>
      </c>
      <c r="B27">
        <f>IFERROR(INDEX('Story log'!G:G,MATCH("C19",'Story log'!C:C,0)),"")</f>
        <v/>
      </c>
      <c r="C27">
        <f>IFERROR(LOOKUP(2,1/('Story log'!C2:C500="C19"),'Story log'!G2:G500),"")</f>
        <v/>
      </c>
      <c r="D27" s="2">
        <f>IF(AND(ISNUMBER(B27),B27&gt;0,ISNUMBER(C27)),C27/B27,"")</f>
        <v/>
      </c>
      <c r="E27">
        <f>SUMIF('Story log'!C:C,"C19",'Story log'!M:M)</f>
        <v/>
      </c>
      <c r="F27" s="3">
        <f>IF(AND(ISNUMBER(B27),B27&gt;0),E27/B27*100,"")</f>
        <v/>
      </c>
      <c r="G27">
        <f>SUMIF('Story log'!C:C,"C19",'Story log'!N:N)</f>
        <v/>
      </c>
      <c r="H27">
        <f>SUMIF('Story log'!C:C,"C19",'Story log'!O:O)</f>
        <v/>
      </c>
      <c r="I27">
        <f>SUMIF('Story log'!C:C,"C19",'Story log'!Q:Q)</f>
        <v/>
      </c>
      <c r="J27" s="3">
        <f>IF(AND(ISNUMBER(B27),B27&gt;0),I27/B27*1000,"")</f>
        <v/>
      </c>
    </row>
    <row r="28">
      <c r="A28" t="inlineStr">
        <is>
          <t>X03</t>
        </is>
      </c>
      <c r="B28">
        <f>IFERROR(INDEX('Story log'!G:G,MATCH("X03",'Story log'!C:C,0)),"")</f>
        <v/>
      </c>
      <c r="C28">
        <f>IFERROR(LOOKUP(2,1/('Story log'!C2:C500="X03"),'Story log'!G2:G500),"")</f>
        <v/>
      </c>
      <c r="D28" s="2">
        <f>IF(AND(ISNUMBER(B28),B28&gt;0,ISNUMBER(C28)),C28/B28,"")</f>
        <v/>
      </c>
      <c r="E28">
        <f>SUMIF('Story log'!C:C,"X03",'Story log'!M:M)</f>
        <v/>
      </c>
      <c r="F28" s="3">
        <f>IF(AND(ISNUMBER(B28),B28&gt;0),E28/B28*100,"")</f>
        <v/>
      </c>
      <c r="G28">
        <f>SUMIF('Story log'!C:C,"X03",'Story log'!N:N)</f>
        <v/>
      </c>
      <c r="H28">
        <f>SUMIF('Story log'!C:C,"X03",'Story log'!O:O)</f>
        <v/>
      </c>
      <c r="I28">
        <f>SUMIF('Story log'!C:C,"X03",'Story log'!Q:Q)</f>
        <v/>
      </c>
      <c r="J28" s="3">
        <f>IF(AND(ISNUMBER(B28),B28&gt;0),I28/B28*1000,"")</f>
        <v/>
      </c>
    </row>
    <row r="29">
      <c r="A29" t="inlineStr">
        <is>
          <t>X02</t>
        </is>
      </c>
      <c r="B29">
        <f>IFERROR(INDEX('Story log'!G:G,MATCH("X02",'Story log'!C:C,0)),"")</f>
        <v/>
      </c>
      <c r="C29">
        <f>IFERROR(LOOKUP(2,1/('Story log'!C2:C500="X02"),'Story log'!G2:G500),"")</f>
        <v/>
      </c>
      <c r="D29" s="2">
        <f>IF(AND(ISNUMBER(B29),B29&gt;0,ISNUMBER(C29)),C29/B29,"")</f>
        <v/>
      </c>
      <c r="E29">
        <f>SUMIF('Story log'!C:C,"X02",'Story log'!M:M)</f>
        <v/>
      </c>
      <c r="F29" s="3">
        <f>IF(AND(ISNUMBER(B29),B29&gt;0),E29/B29*100,"")</f>
        <v/>
      </c>
      <c r="G29">
        <f>SUMIF('Story log'!C:C,"X02",'Story log'!N:N)</f>
        <v/>
      </c>
      <c r="H29">
        <f>SUMIF('Story log'!C:C,"X02",'Story log'!O:O)</f>
        <v/>
      </c>
      <c r="I29">
        <f>SUMIF('Story log'!C:C,"X02",'Story log'!Q:Q)</f>
        <v/>
      </c>
      <c r="J29" s="3">
        <f>IF(AND(ISNUMBER(B29),B29&gt;0),I29/B29*1000,"")</f>
        <v/>
      </c>
    </row>
    <row r="30">
      <c r="A30" t="inlineStr">
        <is>
          <t>C23</t>
        </is>
      </c>
      <c r="B30">
        <f>IFERROR(INDEX('Story log'!G:G,MATCH("C23",'Story log'!C:C,0)),"")</f>
        <v/>
      </c>
      <c r="C30">
        <f>IFERROR(LOOKUP(2,1/('Story log'!C2:C500="C23"),'Story log'!G2:G500),"")</f>
        <v/>
      </c>
      <c r="D30" s="2">
        <f>IF(AND(ISNUMBER(B30),B30&gt;0,ISNUMBER(C30)),C30/B30,"")</f>
        <v/>
      </c>
      <c r="E30">
        <f>SUMIF('Story log'!C:C,"C23",'Story log'!M:M)</f>
        <v/>
      </c>
      <c r="F30" s="3">
        <f>IF(AND(ISNUMBER(B30),B30&gt;0),E30/B30*100,"")</f>
        <v/>
      </c>
      <c r="G30">
        <f>SUMIF('Story log'!C:C,"C23",'Story log'!N:N)</f>
        <v/>
      </c>
      <c r="H30">
        <f>SUMIF('Story log'!C:C,"C23",'Story log'!O:O)</f>
        <v/>
      </c>
      <c r="I30">
        <f>SUMIF('Story log'!C:C,"C23",'Story log'!Q:Q)</f>
        <v/>
      </c>
      <c r="J30" s="3">
        <f>IF(AND(ISNUMBER(B30),B30&gt;0),I30/B30*1000,"")</f>
        <v/>
      </c>
    </row>
    <row r="31">
      <c r="A31" t="inlineStr">
        <is>
          <t>C37</t>
        </is>
      </c>
      <c r="B31">
        <f>IFERROR(INDEX('Story log'!G:G,MATCH("C37",'Story log'!C:C,0)),"")</f>
        <v/>
      </c>
      <c r="C31">
        <f>IFERROR(LOOKUP(2,1/('Story log'!C2:C500="C37"),'Story log'!G2:G500),"")</f>
        <v/>
      </c>
      <c r="D31" s="2">
        <f>IF(AND(ISNUMBER(B31),B31&gt;0,ISNUMBER(C31)),C31/B31,"")</f>
        <v/>
      </c>
      <c r="E31">
        <f>SUMIF('Story log'!C:C,"C37",'Story log'!M:M)</f>
        <v/>
      </c>
      <c r="F31" s="3">
        <f>IF(AND(ISNUMBER(B31),B31&gt;0),E31/B31*100,"")</f>
        <v/>
      </c>
      <c r="G31">
        <f>SUMIF('Story log'!C:C,"C37",'Story log'!N:N)</f>
        <v/>
      </c>
      <c r="H31">
        <f>SUMIF('Story log'!C:C,"C37",'Story log'!O:O)</f>
        <v/>
      </c>
      <c r="I31">
        <f>SUMIF('Story log'!C:C,"C37",'Story log'!Q:Q)</f>
        <v/>
      </c>
      <c r="J31" s="3">
        <f>IF(AND(ISNUMBER(B31),B31&gt;0),I31/B31*1000,"")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4" t="inlineStr">
        <is>
          <t>week starting</t>
        </is>
      </c>
      <c r="B1" s="4" t="inlineStr">
        <is>
          <t>followers (Sunday)</t>
        </is>
      </c>
      <c r="C1" s="4" t="inlineStr">
        <is>
          <t>new followers</t>
        </is>
      </c>
      <c r="D1" s="4" t="inlineStr">
        <is>
          <t>accounts reached (7 days)</t>
        </is>
      </c>
      <c r="E1" s="4" t="inlineStr">
        <is>
          <t>story reach, average per story</t>
        </is>
      </c>
      <c r="F1" s="4" t="inlineStr">
        <is>
          <t>replies (all stories)</t>
        </is>
      </c>
      <c r="G1" s="4" t="inlineStr">
        <is>
          <t>DM conversations started</t>
        </is>
      </c>
      <c r="H1" s="4" t="inlineStr">
        <is>
          <t>profile visits</t>
        </is>
      </c>
      <c r="I1" s="4" t="inlineStr">
        <is>
          <t>what worked</t>
        </is>
      </c>
      <c r="J1" s="4" t="inlineStr">
        <is>
          <t>what to change</t>
        </is>
      </c>
    </row>
    <row r="2">
      <c r="A2" t="inlineStr">
        <is>
          <t>2026-11-08</t>
        </is>
      </c>
    </row>
    <row r="3">
      <c r="A3" t="inlineStr">
        <is>
          <t>2026-11-15</t>
        </is>
      </c>
    </row>
    <row r="4">
      <c r="A4" t="inlineStr">
        <is>
          <t>2026-11-22</t>
        </is>
      </c>
    </row>
    <row r="5">
      <c r="A5" t="inlineStr">
        <is>
          <t>2026-11-29</t>
        </is>
      </c>
    </row>
    <row r="6">
      <c r="A6" t="inlineStr">
        <is>
          <t>2026-12-06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Where the numbers come from: Instagram app &gt; your story (or Archive &gt; Stories) &gt; swipe up &gt; Insights. Fill within 24 hours, or from the archive later.</t>
        </is>
      </c>
    </row>
    <row r="2">
      <c r="A2" t="inlineStr">
        <is>
          <t>Replies: Instagram's API returns 0 for story replies from accounts in Europe, so count them in your DMs (or the 'Replies' line in the app).</t>
        </is>
      </c>
    </row>
    <row r="3">
      <c r="A3" t="inlineStr">
        <is>
          <t>Sticker taps: the poll / quiz / slider / question results on the hand-posted version (swipe up on the story).</t>
        </is>
      </c>
    </row>
    <row r="4">
      <c r="A4" t="inlineStr">
        <is>
          <t>Completion = reach of the last frame / reach of the first frame of the same sequence.</t>
        </is>
      </c>
    </row>
    <row r="5">
      <c r="A5" t="inlineStr">
        <is>
          <t>Exit rate = exits / reach for that frame. A frame with a much higher exit rate than its neighbours is the weak one.</t>
        </is>
      </c>
    </row>
    <row r="6">
      <c r="A6" t="inlineStr">
        <is>
          <t>Replies per 100 reached is the main score for stories (Instagram ranks stories partly on replies). Follows per 1,000 reached is the growth score.</t>
        </is>
      </c>
    </row>
    <row r="7">
      <c r="A7" t="inlineStr">
        <is>
          <t>Small numbers: with under 100 viewers a story, one reply moves the rate a lot. Judge on 5+ stories per arm, never on one night.</t>
        </is>
      </c>
    </row>
    <row r="8">
      <c r="A8" t="inlineStr">
        <is>
          <t>Instagram does not report story metrics below 5 for some fields; leave the cell empty, don't write 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2026-10-25T15:05:11Z</dcterms:created>
  <dcterms:modified xmlns:dcterms="http://purl.org/dc/terms/" xmlns:xsi="http://www.w3.org/2001/XMLSchema-instance" xsi:type="dcterms:W3CDTF">2026-10-25T15:05:11Z</dcterms:modified>
</cp:coreProperties>
</file>