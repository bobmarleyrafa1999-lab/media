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Inputs" sheetId="2" state="visible" r:id="rId4"/>
    <sheet name="Fixed costs" sheetId="3" state="visible" r:id="rId5"/>
    <sheet name="Journals" sheetId="4" state="visible" r:id="rId6"/>
    <sheet name="Merch" sheetId="5" state="visible" r:id="rId7"/>
    <sheet name="Scenarios" sheetId="6" state="visible" r:id="rId8"/>
    <sheet name="90-day P&amp;L" sheetId="7" state="visible" r:id="rId9"/>
    <sheet name="Ads" sheetId="8" state="visible" r:id="rId10"/>
    <sheet name="Rate card" sheetId="9" state="visible" r:id="rId11"/>
    <sheet name="Other income" sheetId="10" state="visible" r:id="rId12"/>
    <sheet name="Gates" sheetId="11" state="visible" r:id="rId13"/>
    <sheet name="12-month plan" sheetId="12" state="visible" r:id="rId14"/>
    <sheet name="Your inputs" sheetId="13" state="visible" r:id="rId15"/>
    <sheet name="Sources" sheetId="14" state="visible" r:id="rId16"/>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Annual amount; divided by 12 in the monthly columns.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L5" authorId="0">
      <text>
        <r>
          <rPr>
            <sz val="10"/>
            <rFont val="Arial"/>
            <family val="2"/>
          </rPr>
          <t xml:space="preserve">Copied from business/pricing/margins.csv (shop thread). Should equal column F.</t>
        </r>
      </text>
    </comment>
    <comment ref="L6" authorId="0">
      <text>
        <r>
          <rPr>
            <sz val="10"/>
            <rFont val="Arial"/>
            <family val="2"/>
          </rPr>
          <t xml:space="preserve">Copied from business/pricing/margins.csv (shop thread). Should equal column F.</t>
        </r>
      </text>
    </comment>
    <comment ref="L7" authorId="0">
      <text>
        <r>
          <rPr>
            <sz val="10"/>
            <rFont val="Arial"/>
            <family val="2"/>
          </rPr>
          <t xml:space="preserve">Copied from business/pricing/margins.csv (shop thread). Should equal column F.</t>
        </r>
      </text>
    </comment>
    <comment ref="L8" authorId="0">
      <text>
        <r>
          <rPr>
            <sz val="10"/>
            <rFont val="Arial"/>
            <family val="2"/>
          </rPr>
          <t xml:space="preserve">Copied from business/pricing/margins.csv (shop thread). Should equal column F.</t>
        </r>
      </text>
    </comment>
    <comment ref="L9" authorId="0">
      <text>
        <r>
          <rPr>
            <sz val="10"/>
            <rFont val="Arial"/>
            <family val="2"/>
          </rPr>
          <t xml:space="preserve">Copied from business/pricing/margins.csv (shop thread). Should equal column F.</t>
        </r>
      </text>
    </comment>
    <comment ref="L10" authorId="0">
      <text>
        <r>
          <rPr>
            <sz val="10"/>
            <rFont val="Arial"/>
            <family val="2"/>
          </rPr>
          <t xml:space="preserve">Copied from business/pricing/margins.csv (shop thread). Should equal column F.</t>
        </r>
      </text>
    </comment>
    <comment ref="L11" authorId="0">
      <text>
        <r>
          <rPr>
            <sz val="10"/>
            <rFont val="Arial"/>
            <family val="2"/>
          </rPr>
          <t xml:space="preserve">Copied from business/pricing/margins.csv (shop thread). Should equal column F.</t>
        </r>
      </text>
    </comment>
    <comment ref="L12" authorId="0">
      <text>
        <r>
          <rPr>
            <sz val="10"/>
            <rFont val="Arial"/>
            <family val="2"/>
          </rPr>
          <t xml:space="preserve">Copied from business/pricing/margins.csv (shop thread). Should equal column F.</t>
        </r>
      </text>
    </comment>
    <comment ref="L13" authorId="0">
      <text>
        <r>
          <rPr>
            <sz val="10"/>
            <rFont val="Arial"/>
            <family val="2"/>
          </rPr>
          <t xml:space="preserve">Copied from business/pricing/margins.csv (shop thread). Should equal column F.</t>
        </r>
      </text>
    </comment>
  </commentList>
</comments>
</file>

<file path=xl/sharedStrings.xml><?xml version="1.0" encoding="utf-8"?>
<sst xmlns="http://schemas.openxmlformats.org/spreadsheetml/2006/main" count="987" uniqueCount="743">
  <si>
    <t xml:space="preserve">Moodius Aurelius: financial model</t>
  </si>
  <si>
    <t xml:space="preserve">Costs, cost of goods and postage, per-unit economics, scenarios, 90-day P&amp;L and cash, unlock gates and other income streams. Built 21 Oct 2026 by Claude.</t>
  </si>
  <si>
    <t xml:space="preserve">Colour key</t>
  </si>
  <si>
    <t xml:space="preserve">Blue text = an input you can change</t>
  </si>
  <si>
    <t xml:space="preserve">Black text = a formula</t>
  </si>
  <si>
    <t xml:space="preserve">Green text = linked from another sheet</t>
  </si>
  <si>
    <t xml:space="preserve">Yellow fill = waiting on you</t>
  </si>
  <si>
    <t xml:space="preserve">Headline numbers (live)</t>
  </si>
  <si>
    <t xml:space="preserve">Conservative</t>
  </si>
  <si>
    <t xml:space="preserve">Base</t>
  </si>
  <si>
    <t xml:space="preserve">Optimistic</t>
  </si>
  <si>
    <t xml:space="preserve">Note</t>
  </si>
  <si>
    <t xml:space="preserve">Fixed costs per month £ (included set)</t>
  </si>
  <si>
    <t xml:space="preserve">Metricool + domain + PO box by default.</t>
  </si>
  <si>
    <t xml:space="preserve">Fixed costs per month €</t>
  </si>
  <si>
    <t xml:space="preserve">Lean target ≈ €20-25.</t>
  </si>
  <si>
    <t xml:space="preserve">Journal profit per sale £ (blended, after refunds)</t>
  </si>
  <si>
    <t xml:space="preserve">From the shop thread's prices and fees.</t>
  </si>
  <si>
    <t xml:space="preserve">Journal sales a month to cover fixed costs</t>
  </si>
  <si>
    <t xml:space="preserve">Revenue per 1,000 views £ (month-3 run rate)</t>
  </si>
  <si>
    <t xml:space="preserve">Today, measured: £0 (nothing on sale).</t>
  </si>
  <si>
    <t xml:space="preserve">Views a month needed to cover fixed costs</t>
  </si>
  <si>
    <t xml:space="preserve">Today: ~1,350 reel views a month.</t>
  </si>
  <si>
    <t xml:space="preserve">Journal sales over the 90 days</t>
  </si>
  <si>
    <t xml:space="preserve">90-day net result £</t>
  </si>
  <si>
    <t xml:space="preserve">Excludes ads.</t>
  </si>
  <si>
    <t xml:space="preserve">€35 ad test: cost per guide sign-up £ (expensive to cheap clicks)</t>
  </si>
  <si>
    <t xml:space="preserve">Worth about £0.10-0.41 each in journal profit (Scenarios).</t>
  </si>
  <si>
    <t xml:space="preserve">€35 ad test: cost per journal sale £</t>
  </si>
  <si>
    <t xml:space="preserve">Break-even is the journal profit per sale.</t>
  </si>
  <si>
    <t xml:space="preserve">Gates met</t>
  </si>
  <si>
    <t xml:space="preserve">Met / total, Gates sheet.</t>
  </si>
  <si>
    <t xml:space="preserve">Sheets</t>
  </si>
  <si>
    <t xml:space="preserve">Inputs</t>
  </si>
  <si>
    <t xml:space="preserve">Every number, with type and source</t>
  </si>
  <si>
    <t xml:space="preserve">Fixed costs</t>
  </si>
  <si>
    <t xml:space="preserve">Monthly costs in £ and €, with approval status</t>
  </si>
  <si>
    <t xml:space="preserve">Journals</t>
  </si>
  <si>
    <t xml:space="preserve">Per-sale economics from the shop thread, plus a print edition</t>
  </si>
  <si>
    <t xml:space="preserve">Merch</t>
  </si>
  <si>
    <t xml:space="preserve">POD tee, print and notebook: cost of goods, postage UK/EU/US, Etsy fees, margin</t>
  </si>
  <si>
    <t xml:space="preserve">Ads</t>
  </si>
  <si>
    <t xml:space="preserve">€35 test maths, break-even cost per result, slot for your ad results</t>
  </si>
  <si>
    <t xml:space="preserve">Scenarios</t>
  </si>
  <si>
    <t xml:space="preserve">Conservative / base / optimistic, revenue per 1,000 views, break-even</t>
  </si>
  <si>
    <t xml:space="preserve">90-day P&amp;L</t>
  </si>
  <si>
    <t xml:space="preserve">Monthly P&amp;L and cash, 2 Nov-31 Jan; pick the scenario in B3</t>
  </si>
  <si>
    <t xml:space="preserve">Rate card</t>
  </si>
  <si>
    <t xml:space="preserve">Brand-deal pricing tied to measured views; partner categories</t>
  </si>
  <si>
    <t xml:space="preserve">Other income</t>
  </si>
  <si>
    <t xml:space="preserve">Mentoring, membership, workshops, paid Substack, affiliates, brand deals, licensing: ranked</t>
  </si>
  <si>
    <t xml:space="preserve">Gates</t>
  </si>
  <si>
    <t xml:space="preserve">Thresholds that unlock each spend or stream, with live status</t>
  </si>
  <si>
    <t xml:space="preserve">12-month plan</t>
  </si>
  <si>
    <t xml:space="preserve">Sequence of streams and spends</t>
  </si>
  <si>
    <t xml:space="preserve">Your inputs</t>
  </si>
  <si>
    <t xml:space="preserve">What only you can provide</t>
  </si>
  <si>
    <t xml:space="preserve">Inputs: every number the model uses</t>
  </si>
  <si>
    <t xml:space="preserve">Blue = a value you can change. Yellow = waiting on you. Type says where it came from: Measured, Benchmark (with source), Assumption (not sourced, replace with real data), From shop thread, Plan, Surafel input.</t>
  </si>
  <si>
    <t xml:space="preserve">Input</t>
  </si>
  <si>
    <t xml:space="preserve">Value</t>
  </si>
  <si>
    <t xml:space="preserve">Unit</t>
  </si>
  <si>
    <t xml:space="preserve">Type</t>
  </si>
  <si>
    <t xml:space="preserve">Source / note</t>
  </si>
  <si>
    <t xml:space="preserve">Currency</t>
  </si>
  <si>
    <t xml:space="preserve">Euros per £1</t>
  </si>
  <si>
    <t xml:space="preserve">€ per £</t>
  </si>
  <si>
    <t xml:space="preserve">Assumption</t>
  </si>
  <si>
    <t xml:space="preserve">Approximate rate on 21 Oct 2026. Update from your bank or xe.com; every EUR column follows it.</t>
  </si>
  <si>
    <t xml:space="preserve">Pounds per $1</t>
  </si>
  <si>
    <t xml:space="preserve">£ per $</t>
  </si>
  <si>
    <t xml:space="preserve">Approximate rate on 21 Oct 2026. Used to convert US-dollar supplier and ad benchmarks.</t>
  </si>
  <si>
    <t xml:space="preserve">Measured today (Metricool, @moodiusaurelius, pulled 21 Oct 2026, window 22 Sep-21 Oct)</t>
  </si>
  <si>
    <t xml:space="preserve">Instagram followers now</t>
  </si>
  <si>
    <t xml:space="preserve">followers</t>
  </si>
  <si>
    <t xml:space="preserve">Measured</t>
  </si>
  <si>
    <t xml:space="preserve">Metricool IGEV01 on 21 Oct 2026 (was 3 on 4 Oct, account-snapshot-2026-10-04.md).</t>
  </si>
  <si>
    <t xml:space="preserve">Reel views, last 30 days</t>
  </si>
  <si>
    <t xml:space="preserve">views</t>
  </si>
  <si>
    <t xml:space="preserve">Metricool IGEV23, sum of daily values 22 Sep-21 Oct 2026.</t>
  </si>
  <si>
    <t xml:space="preserve">All account views, last 30 days</t>
  </si>
  <si>
    <t xml:space="preserve">Metricool IGEV05, organic + paid, same window.</t>
  </si>
  <si>
    <t xml:space="preserve">Median views per reel (baseline)</t>
  </si>
  <si>
    <t xml:space="preserve">strategy/09-scaling-roadmap.md baseline (~130). Feed posts ~53 per 20 Oct insights.</t>
  </si>
  <si>
    <t xml:space="preserve">Best single day of reel views (proxy for best reel)</t>
  </si>
  <si>
    <t xml:space="preserve">Metricool IGEV23, 12 Oct 2026. Daily total, so a proxy, not a per-reel figure.</t>
  </si>
  <si>
    <t xml:space="preserve">Share of views from non-followers</t>
  </si>
  <si>
    <t xml:space="preserve">%</t>
  </si>
  <si>
    <t xml:space="preserve">Instagram insights screenshots, 20 Oct 2026.</t>
  </si>
  <si>
    <t xml:space="preserve">Reel shares (sends), last 30 days</t>
  </si>
  <si>
    <t xml:space="preserve">shares</t>
  </si>
  <si>
    <t xml:space="preserve">Metricool IGEV39, same window. Sends ≈ 0 per post.</t>
  </si>
  <si>
    <t xml:space="preserve">Free guide / newsletter sign-ups so far</t>
  </si>
  <si>
    <t xml:space="preserve">people</t>
  </si>
  <si>
    <t xml:space="preserve">No list is live yet. Update weekly once the guide page is live.</t>
  </si>
  <si>
    <t xml:space="preserve">Journal orders so far</t>
  </si>
  <si>
    <t xml:space="preserve">orders</t>
  </si>
  <si>
    <t xml:space="preserve">Shop is in test mode. Update from the back office once live.</t>
  </si>
  <si>
    <t xml:space="preserve">Substack free subscribers</t>
  </si>
  <si>
    <t xml:space="preserve">Publication not created yet (first essay planned 5 Nov 2026).</t>
  </si>
  <si>
    <t xml:space="preserve">Comments + story replies per week</t>
  </si>
  <si>
    <t xml:space="preserve">per week</t>
  </si>
  <si>
    <t xml:space="preserve">Surafel input</t>
  </si>
  <si>
    <t xml:space="preserve">Not measured yet. Fill in from Instagram; drives the VPS/Claude API gate.</t>
  </si>
  <si>
    <t xml:space="preserve">Shop live? (1 = yes, 0 = no)</t>
  </si>
  <si>
    <t xml:space="preserve">flag</t>
  </si>
  <si>
    <t xml:space="preserve">Set to 1 the day you say 'go live' on the storefront.</t>
  </si>
  <si>
    <t xml:space="preserve">Journals and digital products (from the digital-products thread, business/pricing/margins.py)</t>
  </si>
  <si>
    <t xml:space="preserve">VAT assumed inside every digital price</t>
  </si>
  <si>
    <t xml:space="preserve">From shop thread</t>
  </si>
  <si>
    <t xml:space="preserve">Conservative: UK e-publications are zero-rated, but fill-in journals may not qualify.</t>
  </si>
  <si>
    <t xml:space="preserve">Stripe Managed Payments fee</t>
  </si>
  <si>
    <t xml:space="preserve">% of sale</t>
  </si>
  <si>
    <t xml:space="preserve">support.stripe.com/questions/managed-payments-pricing</t>
  </si>
  <si>
    <t xml:space="preserve">Stripe UK card %</t>
  </si>
  <si>
    <t xml:space="preserve">stripe.com/gb/pricing, checked 21 Oct 2026</t>
  </si>
  <si>
    <t xml:space="preserve">Stripe EEA card % (incl. 2% FX)</t>
  </si>
  <si>
    <t xml:space="preserve">2.5% + 2% currency conversion, stripe.com/gb/pricing</t>
  </si>
  <si>
    <t xml:space="preserve">Stripe international card % (incl. 2% FX)</t>
  </si>
  <si>
    <t xml:space="preserve">3.15% + 2% currency conversion, stripe.com/gb/pricing</t>
  </si>
  <si>
    <t xml:space="preserve">Stripe fixed fee per payment</t>
  </si>
  <si>
    <t xml:space="preserve">£</t>
  </si>
  <si>
    <t xml:space="preserve">stripe.com/gb/pricing</t>
  </si>
  <si>
    <t xml:space="preserve">Value of your time for personalised items</t>
  </si>
  <si>
    <t xml:space="preserve">£/hour</t>
  </si>
  <si>
    <t xml:space="preserve">margins.py HOUR</t>
  </si>
  <si>
    <t xml:space="preserve">Refund rate</t>
  </si>
  <si>
    <t xml:space="preserve">% of sales</t>
  </si>
  <si>
    <t xml:space="preserve">Suggested by the shop thread; not sourced. Replace with real refunds after 25 orders.</t>
  </si>
  <si>
    <t xml:space="preserve">Buyer mix: UK cards</t>
  </si>
  <si>
    <t xml:space="preserve">No sales yet and audience location unknown. Replace with Stripe data.</t>
  </si>
  <si>
    <t xml:space="preserve">Buyer mix: EEA cards</t>
  </si>
  <si>
    <t xml:space="preserve">As above.</t>
  </si>
  <si>
    <t xml:space="preserve">Buyer mix: international cards</t>
  </si>
  <si>
    <t xml:space="preserve">As above. The three mix cells should add to 100%.</t>
  </si>
  <si>
    <t xml:space="preserve">Journal orders before the £29 bundle is built</t>
  </si>
  <si>
    <t xml:space="preserve">business/funnel/bundle-plan.md (or 6 weeks on sale).</t>
  </si>
  <si>
    <t xml:space="preserve">Paid Instagram ads (benchmarks, replace with your own results)</t>
  </si>
  <si>
    <t xml:space="preserve">Suggested first test</t>
  </si>
  <si>
    <t xml:space="preserve">€</t>
  </si>
  <si>
    <t xml:space="preserve">Plan</t>
  </si>
  <si>
    <t xml:space="preserve">growth-and-monetisation-plan.md: €5/day x 7 days on one winning reel. Needs your OK.</t>
  </si>
  <si>
    <t xml:space="preserve">Cost per link click, low</t>
  </si>
  <si>
    <t xml:space="preserve">$</t>
  </si>
  <si>
    <t xml:space="preserve">Benchmark</t>
  </si>
  <si>
    <t xml:space="preserve">topgrowthmarketing.com/instagram-ads-cost (2026, aggregated; no UK split).</t>
  </si>
  <si>
    <t xml:space="preserve">Cost per link click, high</t>
  </si>
  <si>
    <t xml:space="preserve">Same source, destination clicks $0.50-1.80.</t>
  </si>
  <si>
    <t xml:space="preserve">Reels CPM, low</t>
  </si>
  <si>
    <t xml:space="preserve">$ per 1,000</t>
  </si>
  <si>
    <t xml:space="preserve">Ryze.AI via topgrowthmarketing.com (2026), consumer verticals.</t>
  </si>
  <si>
    <t xml:space="preserve">Reels CPM, high</t>
  </si>
  <si>
    <t xml:space="preserve">Same source.</t>
  </si>
  <si>
    <t xml:space="preserve">Cost per follower (boost), low</t>
  </si>
  <si>
    <t xml:space="preserve">No reliable published benchmark found. Replace with your ad screenshot.</t>
  </si>
  <si>
    <t xml:space="preserve">Cost per follower (boost), high</t>
  </si>
  <si>
    <t xml:space="preserve">Merch (print-on-demand, no inventory)</t>
  </si>
  <si>
    <t xml:space="preserve">Etsy listing fee per sale</t>
  </si>
  <si>
    <t xml:space="preserve">Etsy fees policy (etsy.com/legal/fees). Check before launch.</t>
  </si>
  <si>
    <t xml:space="preserve">Etsy transaction fee</t>
  </si>
  <si>
    <t xml:space="preserve">% of item + shipping</t>
  </si>
  <si>
    <t xml:space="preserve">Etsy fees policy.</t>
  </si>
  <si>
    <t xml:space="preserve">Etsy Payments processing (UK)</t>
  </si>
  <si>
    <t xml:space="preserve">% of order</t>
  </si>
  <si>
    <t xml:space="preserve">Etsy Payments UK: 4% + £0.20.</t>
  </si>
  <si>
    <t xml:space="preserve">Etsy Payments fixed fee (UK)</t>
  </si>
  <si>
    <t xml:space="preserve">VAT charged on Etsy fees (UK seller, not VAT-registered)</t>
  </si>
  <si>
    <t xml:space="preserve">Etsy charges UK VAT on its fees to UK sellers.</t>
  </si>
  <si>
    <t xml:space="preserve">Returns / reprint allowance</t>
  </si>
  <si>
    <t xml:space="preserve">% of retail</t>
  </si>
  <si>
    <t xml:space="preserve">POD suppliers reprint their own misprints; this covers change-of-mind returns you absorb.</t>
  </si>
  <si>
    <t xml:space="preserve">One-off sample orders before launch</t>
  </si>
  <si>
    <t xml:space="preserve">3 items x ~£15 incl. shipping. A spend: needs your OK.</t>
  </si>
  <si>
    <t xml:space="preserve">Other income streams</t>
  </si>
  <si>
    <t xml:space="preserve">Bookshop.org affiliate commission</t>
  </si>
  <si>
    <t xml:space="preserve">supadu.com/blogs/news-and-views/bookshop-org (10% to affiliates).</t>
  </si>
  <si>
    <t xml:space="preserve">Average affiliate book order</t>
  </si>
  <si>
    <t xml:space="preserve">One paperback. Not sourced.</t>
  </si>
  <si>
    <t xml:space="preserve">Affiliate click to order</t>
  </si>
  <si>
    <t xml:space="preserve">Not sourced; replace after the Week 3 affiliate experiment.</t>
  </si>
  <si>
    <t xml:space="preserve">Paid Substack price</t>
  </si>
  <si>
    <t xml:space="preserve">£/month</t>
  </si>
  <si>
    <t xml:space="preserve">Substack minimum is $5/month (bestwriting.com/substack-statistics).</t>
  </si>
  <si>
    <t xml:space="preserve">Substack platform fee</t>
  </si>
  <si>
    <t xml:space="preserve">% of payment</t>
  </si>
  <si>
    <t xml:space="preserve">substack/10-costs-and-apis.md and bestwriting.com.</t>
  </si>
  <si>
    <t xml:space="preserve">Stripe fee on Substack payments</t>
  </si>
  <si>
    <t xml:space="preserve">substack/10-costs-and-apis.md (2.9% + €0.30).</t>
  </si>
  <si>
    <t xml:space="preserve">Stripe fixed fee on Substack payments</t>
  </si>
  <si>
    <t xml:space="preserve">€0.30 converted, rounded.</t>
  </si>
  <si>
    <t xml:space="preserve">Free to paid Substack conversion</t>
  </si>
  <si>
    <t xml:space="preserve">Average 3%, niche 4-10% (bestwriting.com, citing reallygoodbusinessideas.com).</t>
  </si>
  <si>
    <t xml:space="preserve">Creator rate CPM, low</t>
  </si>
  <si>
    <t xml:space="preserve">$ per 1,000 views</t>
  </si>
  <si>
    <t xml:space="preserve">influee.co Instagram influencer pricing 2026, nano/micro $5-15 CPM.</t>
  </si>
  <si>
    <t xml:space="preserve">Creator rate CPM, high</t>
  </si>
  <si>
    <t xml:space="preserve">Nano creator (1k-10k followers) reel, low</t>
  </si>
  <si>
    <t xml:space="preserve">Same source: nano reel $50-300.</t>
  </si>
  <si>
    <t xml:space="preserve">Nano creator (1k-10k followers) reel, high</t>
  </si>
  <si>
    <t xml:space="preserve">Reflective mentoring, 1:1 session (50 min)</t>
  </si>
  <si>
    <t xml:space="preserve">Not sourced. Positioned as reflective mentoring, never therapy.</t>
  </si>
  <si>
    <t xml:space="preserve">Small-group cohort, per person (4 sessions)</t>
  </si>
  <si>
    <t xml:space="preserve">Not sourced. 6 people per cohort.</t>
  </si>
  <si>
    <t xml:space="preserve">Live online workshop ticket (90 min)</t>
  </si>
  <si>
    <t xml:space="preserve">Not sourced.</t>
  </si>
  <si>
    <t xml:space="preserve">Self-paced course</t>
  </si>
  <si>
    <t xml:space="preserve">Paid community / membership</t>
  </si>
  <si>
    <t xml:space="preserve">Content-system licence per brand</t>
  </si>
  <si>
    <t xml:space="preserve">Not sourced. Long-term plan in strategy/09-scaling-roadmap.md.</t>
  </si>
  <si>
    <t xml:space="preserve">Extra running cost per licensed brand</t>
  </si>
  <si>
    <t xml:space="preserve">Scheduler seat + API usage share. Not sourced.</t>
  </si>
  <si>
    <t xml:space="preserve">Print edition list price (Amazon KDP paperback)</t>
  </si>
  <si>
    <t xml:space="preserve">KDP paperback royalty rate</t>
  </si>
  <si>
    <t xml:space="preserve">% of list</t>
  </si>
  <si>
    <t xml:space="preserve">KDP 60% royalty minus printing cost. Check the KDP calculator.</t>
  </si>
  <si>
    <t xml:space="preserve">KDP printing cost, ~120 pp black and white</t>
  </si>
  <si>
    <t xml:space="preserve">Estimated, check the KDP printing-cost calculator.</t>
  </si>
  <si>
    <t xml:space="preserve">Cash</t>
  </si>
  <si>
    <t xml:space="preserve">Cash set aside for the business on 1 Nov</t>
  </si>
  <si>
    <t xml:space="preserve">Put your starting budget here; the cash view shows if it ever goes below zero.</t>
  </si>
  <si>
    <t xml:space="preserve">Share of a month's sales paid out the next month</t>
  </si>
  <si>
    <t xml:space="preserve">Roughly a 7-day payout delay. Replace with your Stripe payout schedule.</t>
  </si>
  <si>
    <t xml:space="preserve">Month the shop starts selling (1 = Nov, 2 = Dec, 3 = Jan)</t>
  </si>
  <si>
    <t xml:space="preserve">month</t>
  </si>
  <si>
    <t xml:space="preserve">Set to 2 if the shop isn't live by the end of November.</t>
  </si>
  <si>
    <t xml:space="preserve">Fixed monthly costs (GBP with EUR alongside)</t>
  </si>
  <si>
    <t xml:space="preserve">Include = 1 counts the cost in the P&amp;L. Costs marked 'Needs your OK' are set as they would be once approved; set Include to 0 to see the model without them.</t>
  </si>
  <si>
    <t xml:space="preserve">Item</t>
  </si>
  <si>
    <t xml:space="preserve">Amount (native)</t>
  </si>
  <si>
    <t xml:space="preserve">Monthly £</t>
  </si>
  <si>
    <t xml:space="preserve">Monthly €</t>
  </si>
  <si>
    <t xml:space="preserve">Include</t>
  </si>
  <si>
    <t xml:space="preserve">Status</t>
  </si>
  <si>
    <t xml:space="preserve">Metricool Starter (scheduling + analytics)</t>
  </si>
  <si>
    <t xml:space="preserve">EUR</t>
  </si>
  <si>
    <t xml:space="preserve">Active (paid 21 Oct)</t>
  </si>
  <si>
    <t xml:space="preserve">Monthly plan; Instagram + Facebook now, Threads/Pinterest when connected.</t>
  </si>
  <si>
    <t xml:space="preserve">Domain for the shop</t>
  </si>
  <si>
    <t xml:space="preserve">GBP</t>
  </si>
  <si>
    <t xml:space="preserve">Needs your OK</t>
  </si>
  <si>
    <t xml:space="preserve">About £10 a year, shown per month. Paid upfront in the cash view.</t>
  </si>
  <si>
    <t xml:space="preserve">PO box / virtual address</t>
  </si>
  <si>
    <t xml:space="preserve">£5-15 a month, midpoint. Legally needed on the shop's legal pages and in marketing emails.</t>
  </si>
  <si>
    <t xml:space="preserve">VPS for comment agent + n8n</t>
  </si>
  <si>
    <t xml:space="preserve">€4-6 a month (community-agent/docs/04). Off until the comments gate is met.</t>
  </si>
  <si>
    <t xml:space="preserve">Claude API for comment replies</t>
  </si>
  <si>
    <t xml:space="preserve">€1-10 a month depending on model and volume. Runs on the VPS, so same gate.</t>
  </si>
  <si>
    <t xml:space="preserve">Cloudflare Pages + D1 + R2 (shop)</t>
  </si>
  <si>
    <t xml:space="preserve">Free tier</t>
  </si>
  <si>
    <t xml:space="preserve">Commercial use allowed on the free tier.</t>
  </si>
  <si>
    <t xml:space="preserve">Resend email</t>
  </si>
  <si>
    <t xml:space="preserve">Free up to 3,000 emails a month.</t>
  </si>
  <si>
    <t xml:space="preserve">Substack</t>
  </si>
  <si>
    <t xml:space="preserve">Free</t>
  </si>
  <si>
    <t xml:space="preserve">Free to publish; 10% + Stripe only if paid subscriptions are switched on.</t>
  </si>
  <si>
    <t xml:space="preserve">Stripe (Managed Payments)</t>
  </si>
  <si>
    <t xml:space="preserve">No monthly fee</t>
  </si>
  <si>
    <t xml:space="preserve">Per-sale fees sit in the unit economics, not here.</t>
  </si>
  <si>
    <t xml:space="preserve">GitHub, Kit free tier, Canva free</t>
  </si>
  <si>
    <t xml:space="preserve">Etsy shop for merch (later)</t>
  </si>
  <si>
    <t xml:space="preserve">Not started</t>
  </si>
  <si>
    <t xml:space="preserve">No monthly fee on Etsy Standard; fees are per sale (Merch sheet).</t>
  </si>
  <si>
    <t xml:space="preserve">Total included in the model</t>
  </si>
  <si>
    <t xml:space="preserve">Total if every cost listed is switched on</t>
  </si>
  <si>
    <t xml:space="preserve">Lean budget target (upper end)</t>
  </si>
  <si>
    <t xml:space="preserve">Headroom (included vs target)</t>
  </si>
  <si>
    <t xml:space="preserve">Journals and digital products: per-sale economics</t>
  </si>
  <si>
    <t xml:space="preserve">Prices and fees are the digital-products thread's (business/pricing/margins.py). Recomputed here with formulas; column L shows margins.csv so you can see both agree. Digital cost of goods is £0 (delivery runs on free tiers).</t>
  </si>
  <si>
    <t xml:space="preserve">Product</t>
  </si>
  <si>
    <t xml:space="preserve">Price £ (VAT incl.)</t>
  </si>
  <si>
    <t xml:space="preserve">Minutes of your time</t>
  </si>
  <si>
    <t xml:space="preserve">VAT £</t>
  </si>
  <si>
    <t xml:space="preserve">Fees UK £</t>
  </si>
  <si>
    <t xml:space="preserve">Profit UK £</t>
  </si>
  <si>
    <t xml:space="preserve">Profit EEA £</t>
  </si>
  <si>
    <t xml:space="preserve">Profit intl £</t>
  </si>
  <si>
    <t xml:space="preserve">Blended profit £</t>
  </si>
  <si>
    <t xml:space="preserve">After refunds £</t>
  </si>
  <si>
    <t xml:space="preserve">Margin (after refunds)</t>
  </si>
  <si>
    <t xml:space="preserve">margins.csv UK profit £</t>
  </si>
  <si>
    <t xml:space="preserve">Seven Days of Honest Reflection (free guide)</t>
  </si>
  <si>
    <t xml:space="preserve">Live</t>
  </si>
  <si>
    <t xml:space="preserve">The Unexamined Self (journal)</t>
  </si>
  <si>
    <t xml:space="preserve">Themed 14-day journal (one per highlight)</t>
  </si>
  <si>
    <t xml:space="preserve">Planned</t>
  </si>
  <si>
    <t xml:space="preserve">Workbook (Feeling Clearly / How You Attach / What You Live By)</t>
  </si>
  <si>
    <t xml:space="preserve">The Examined Life bundle</t>
  </si>
  <si>
    <t xml:space="preserve">Bundle upgrade for journal buyers</t>
  </si>
  <si>
    <t xml:space="preserve">Personalised journal (journal + personalisation)</t>
  </si>
  <si>
    <t xml:space="preserve">Built (test mode)</t>
  </si>
  <si>
    <t xml:space="preserve">Gift edition (personalised + gift page + chosen send date)</t>
  </si>
  <si>
    <t xml:space="preserve">Personalised bundle</t>
  </si>
  <si>
    <t xml:space="preserve">Future print edition (Amazon KDP paperback, no inventory)</t>
  </si>
  <si>
    <t xml:space="preserve">List price £</t>
  </si>
  <si>
    <t xml:space="preserve">Royalty (60% of list) minus printing cost = profit per copy £</t>
  </si>
  <si>
    <t xml:space="preserve">Cost of goods per copy £ (printing, deducted by Amazon)</t>
  </si>
  <si>
    <t xml:space="preserve">Postage: Amazon ships; buyer pays or Prime covers it. You hold no stock. A printed personalised paperback (shop thread idea) would cost ~£3-4 to print + £3-4 UK post at ~£24-27, and can't use Managed Payments (digital only).</t>
  </si>
  <si>
    <t xml:space="preserve">Check: rows where the recomputed UK profit differs from margins.csv by more than 1p</t>
  </si>
  <si>
    <t xml:space="preserve">Merch plan: print-on-demand, cost of goods and postage by region</t>
  </si>
  <si>
    <t xml:space="preserve">A plan only: no store or listings exist. Default channel is Etsy + a POD supplier (Printful shown; Printify or Gelato are alternatives) because Etsy collects UK/EU VAT on your behalf as the marketplace. Supplier choice is yours.</t>
  </si>
  <si>
    <t xml:space="preserve">Minimal typographic tee (Bella+Canvas 3001, one front print, Ember accent)</t>
  </si>
  <si>
    <t xml:space="preserve">Line (per order of one item)</t>
  </si>
  <si>
    <t xml:space="preserve">UK</t>
  </si>
  <si>
    <t xml:space="preserve">EU</t>
  </si>
  <si>
    <t xml:space="preserve">US</t>
  </si>
  <si>
    <t xml:space="preserve">Retail price £ (what the buyer pays for the item)</t>
  </si>
  <si>
    <t xml:space="preserve">Assumption: priced for a premium minimal brand. Not sourced.</t>
  </si>
  <si>
    <t xml:space="preserve">Shipping charged to buyer £</t>
  </si>
  <si>
    <t xml:space="preserve">Assumption: set to roughly cover postage.</t>
  </si>
  <si>
    <t xml:space="preserve">Revenue £</t>
  </si>
  <si>
    <t xml:space="preserve">Supplier base cost (cost of goods) $</t>
  </si>
  <si>
    <t xml:space="preserve">Printful base on Free plan, $12.95 (podvector.ai, May 2026). Shipping UK/US $3.99, EU $4.99 first item.</t>
  </si>
  <si>
    <t xml:space="preserve">Cost of goods £</t>
  </si>
  <si>
    <t xml:space="preserve">Converted at the Inputs rate.</t>
  </si>
  <si>
    <t xml:space="preserve">Postage (supplier shipping) £</t>
  </si>
  <si>
    <t xml:space="preserve">Supplier shipping rates; packaging is included by POD suppliers.</t>
  </si>
  <si>
    <t xml:space="preserve">Branded packaging / insert card £</t>
  </si>
  <si>
    <t xml:space="preserve">Assumption: £0, plain supplier packaging. Add ~£0.50-1 if you want inserts.</t>
  </si>
  <si>
    <t xml:space="preserve">Etsy listing fee £</t>
  </si>
  <si>
    <t xml:space="preserve">Etsy transaction fee £</t>
  </si>
  <si>
    <t xml:space="preserve">6.5% of item + shipping.</t>
  </si>
  <si>
    <t xml:space="preserve">Etsy Payments processing £</t>
  </si>
  <si>
    <t xml:space="preserve">4% + £0.20.</t>
  </si>
  <si>
    <t xml:space="preserve">VAT on Etsy fees £</t>
  </si>
  <si>
    <t xml:space="preserve">20% on Etsy's fees.</t>
  </si>
  <si>
    <t xml:space="preserve">Returns / reprint allowance £</t>
  </si>
  <si>
    <t xml:space="preserve">Allowance on retail price.</t>
  </si>
  <si>
    <t xml:space="preserve">Total cost £</t>
  </si>
  <si>
    <t xml:space="preserve">Contribution per order £</t>
  </si>
  <si>
    <t xml:space="preserve">Margin on revenue</t>
  </si>
  <si>
    <t xml:space="preserve">Same order on your own site with Stripe (no Etsy fees) £</t>
  </si>
  <si>
    <t xml:space="preserve">Higher margin, but you then handle VAT on goods sold to EU buyers yourself. Etsy first.</t>
  </si>
  <si>
    <t xml:space="preserve">Art print 12x16 in, enhanced matte (quote + Ember rule)</t>
  </si>
  <si>
    <t xml:space="preserve">Printful base $10.95; shipping UK £4.99, EU €5.49, US $4.99 (podvector.ai, May 2026).</t>
  </si>
  <si>
    <t xml:space="preserve">Hardcover lined notebook (Slate cover, small Ember mark)</t>
  </si>
  <si>
    <t xml:space="preserve">ESTIMATE: Printful's page shows no price without login. Check base and shipping in the supplier dashboard.</t>
  </si>
  <si>
    <t xml:space="preserve">One-off before launch (needs your OK)</t>
  </si>
  <si>
    <t xml:space="preserve">Order one sample of each item to check print quality and colour (Ember on Slate).</t>
  </si>
  <si>
    <t xml:space="preserve">Merch vs journals: contribution per sale (UK)</t>
  </si>
  <si>
    <t xml:space="preserve">Journal, after refunds</t>
  </si>
  <si>
    <t xml:space="preserve">Tee, via Etsy</t>
  </si>
  <si>
    <t xml:space="preserve">Art print, via Etsy</t>
  </si>
  <si>
    <t xml:space="preserve">Notebook, via Etsy (estimate)</t>
  </si>
  <si>
    <t xml:space="preserve">When merch is worth launching: per sale it earns about what a journal earns, but it needs samples, design and a second shop, people buy apparel from brands they already know, and returns and support are physical. Launch only after the gate on the Gates sheet (50 journal sales and visible demand). Until then journals win: the same reel sells a product with zero cost of goods that already exists.</t>
  </si>
  <si>
    <t xml:space="preserve">Scenarios: what a month looks like at the end of the 90 days</t>
  </si>
  <si>
    <t xml:space="preserve">Only today's numbers are measured. The funnel rates below are assumptions (blue), labelled; replace them with what the shop and guide page record after 30 days.</t>
  </si>
  <si>
    <t xml:space="preserve">Driver (per month)</t>
  </si>
  <si>
    <t xml:space="preserve">Type and source</t>
  </si>
  <si>
    <t xml:space="preserve">Reels published per month</t>
  </si>
  <si>
    <t xml:space="preserve">Plan: 1 reel a day (strategy/06-30-day-calendar.md).</t>
  </si>
  <si>
    <t xml:space="preserve">Views per reel by month 3</t>
  </si>
  <si>
    <t xml:space="preserve">Conservative = today's median (measured). Base = Phase 0 gate target (strategy/09). Optimistic = assumption.</t>
  </si>
  <si>
    <t xml:space="preserve">Profile/link clicks per 1,000 views</t>
  </si>
  <si>
    <t xml:space="preserve">Assumption, not sourced. Week 1 of the monetisation plan measures it.</t>
  </si>
  <si>
    <t xml:space="preserve">Guide page visit to sign-up</t>
  </si>
  <si>
    <t xml:space="preserve">Assumption, not sourced.</t>
  </si>
  <si>
    <t xml:space="preserve">Sign-up to journal purchase (within the 90 days)</t>
  </si>
  <si>
    <t xml:space="preserve">Assumption, not sourced (the shop thread used no conversion benchmarks either).</t>
  </si>
  <si>
    <t xml:space="preserve">Share of clicks that go straight to the shop and buy</t>
  </si>
  <si>
    <t xml:space="preserve">Affiliate clicks per 1,000 views</t>
  </si>
  <si>
    <t xml:space="preserve">Assumption; starts in week 3 of the monetisation plan.</t>
  </si>
  <si>
    <t xml:space="preserve">Results at month-3 run rate</t>
  </si>
  <si>
    <t xml:space="preserve">Reel views</t>
  </si>
  <si>
    <t xml:space="preserve">Link clicks</t>
  </si>
  <si>
    <t xml:space="preserve">Guide sign-ups</t>
  </si>
  <si>
    <t xml:space="preserve">Journal sales</t>
  </si>
  <si>
    <t xml:space="preserve">Journal sales £ (gross, VAT incl.)</t>
  </si>
  <si>
    <t xml:space="preserve">Journal contribution £ (after VAT, fees, refunds)</t>
  </si>
  <si>
    <t xml:space="preserve">Affiliate commission £</t>
  </si>
  <si>
    <t xml:space="preserve">Total contribution £</t>
  </si>
  <si>
    <t xml:space="preserve">Fixed costs £ (included set)</t>
  </si>
  <si>
    <t xml:space="preserve">Net result £ per month</t>
  </si>
  <si>
    <t xml:space="preserve">Net result € per month</t>
  </si>
  <si>
    <t xml:space="preserve">Revenue per 1,000 views £ (gross)</t>
  </si>
  <si>
    <t xml:space="preserve">Contribution per 1,000 views £</t>
  </si>
  <si>
    <t xml:space="preserve">Value of one guide sign-up £ (journal only)</t>
  </si>
  <si>
    <t xml:space="preserve">Views per month to cover fixed costs</t>
  </si>
  <si>
    <t xml:space="preserve">Journal sales per month to cover fixed costs</t>
  </si>
  <si>
    <t xml:space="preserve">Today, measured: revenue per 1,000 views £</t>
  </si>
  <si>
    <t xml:space="preserve">Measured: £0 revenue on 1,347 reel views in the last 30 days (nothing is for sale yet).</t>
  </si>
  <si>
    <t xml:space="preserve">90-day totals by scenario (from the P&amp;L logic, shop live from the month set on Inputs)</t>
  </si>
  <si>
    <t xml:space="preserve">90-day totals</t>
  </si>
  <si>
    <t xml:space="preserve">Journal sales (units)</t>
  </si>
  <si>
    <t xml:space="preserve">Excludes the bundle and ads; the P&amp;L sheet adds those for the selected scenario.</t>
  </si>
  <si>
    <t xml:space="preserve">Gross revenue £</t>
  </si>
  <si>
    <t xml:space="preserve">Contribution £</t>
  </si>
  <si>
    <t xml:space="preserve">Fixed costs £</t>
  </si>
  <si>
    <t xml:space="preserve">Net result £</t>
  </si>
  <si>
    <t xml:space="preserve">Net result €</t>
  </si>
  <si>
    <t xml:space="preserve">90-day P&amp;L and cash (2 Nov 2026 to 31 Jan 2027)</t>
  </si>
  <si>
    <t xml:space="preserve">Day 1 is 2 Nov (bio link to Substack), first essay 5 Nov, day 90 is 31 Jan, aligned with substack/08-calendar-90-day.csv and the 30-day monetisation plan (community-agent/docs/06).</t>
  </si>
  <si>
    <t xml:space="preserve">Scenario (1 = conservative, 2 = base, 3 = optimistic)</t>
  </si>
  <si>
    <t xml:space="preserve">Line</t>
  </si>
  <si>
    <t xml:space="preserve">Nov 2026 (M1)</t>
  </si>
  <si>
    <t xml:space="preserve">Dec 2026 (M2)</t>
  </si>
  <si>
    <t xml:space="preserve">Jan 2027 (M3)</t>
  </si>
  <si>
    <t xml:space="preserve">90-day total</t>
  </si>
  <si>
    <t xml:space="preserve">What happens this month</t>
  </si>
  <si>
    <t xml:space="preserve">Wk1 measure only; Wk2 DM keyword → guide; essays 1-4 from 5 Nov; Wk3 affiliate test; Wk4 first product push</t>
  </si>
  <si>
    <t xml:space="preserve">Day-30 review picks one experiment; essays weekly; €35 ad test only if the gate is met and you OK it</t>
  </si>
  <si>
    <t xml:space="preserve">Bundle only if 25 orders; day-90 review 31 Jan; decide next spends from Gates</t>
  </si>
  <si>
    <t xml:space="preserve">Month number</t>
  </si>
  <si>
    <t xml:space="preserve">Shop selling this month? (1/0)</t>
  </si>
  <si>
    <t xml:space="preserve">From Inputs.</t>
  </si>
  <si>
    <t xml:space="preserve">Ramps in a straight line from today's measured 30-day views to the scenario's month-3 level.</t>
  </si>
  <si>
    <t xml:space="preserve">Cumulative journal orders</t>
  </si>
  <si>
    <t xml:space="preserve">Bundle sales (only after the order gate)</t>
  </si>
  <si>
    <t xml:space="preserve">Assumption: 30% of buyers take the bundle once it exists. Not sourced.</t>
  </si>
  <si>
    <t xml:space="preserve">REVENUE (gross, VAT included)</t>
  </si>
  <si>
    <t xml:space="preserve">Journals £</t>
  </si>
  <si>
    <t xml:space="preserve">Bundle £</t>
  </si>
  <si>
    <t xml:space="preserve">Merch £</t>
  </si>
  <si>
    <t xml:space="preserve">Not launched in the 90 days (gate not met).</t>
  </si>
  <si>
    <t xml:space="preserve">Brand deals, mentoring, paid Substack £</t>
  </si>
  <si>
    <t xml:space="preserve">Not realistic at today's audience; see Other income for gates.</t>
  </si>
  <si>
    <t xml:space="preserve">Total revenue £</t>
  </si>
  <si>
    <t xml:space="preserve">COST OF SALES</t>
  </si>
  <si>
    <t xml:space="preserve">VAT inside digital prices £</t>
  </si>
  <si>
    <t xml:space="preserve">Collected and paid by Stripe as merchant of record.</t>
  </si>
  <si>
    <t xml:space="preserve">Payment fees £</t>
  </si>
  <si>
    <t xml:space="preserve">Blended Stripe + Managed Payments fees (Journals sheet).</t>
  </si>
  <si>
    <t xml:space="preserve">Refunds £</t>
  </si>
  <si>
    <t xml:space="preserve">Cost of goods and postage £</t>
  </si>
  <si>
    <t xml:space="preserve">Digital: £0. Becomes real only with merch or a print edition.</t>
  </si>
  <si>
    <t xml:space="preserve">Gross profit £</t>
  </si>
  <si>
    <t xml:space="preserve">OPERATING COSTS</t>
  </si>
  <si>
    <t xml:space="preserve">Metricool £</t>
  </si>
  <si>
    <t xml:space="preserve">Other fixed costs £ (domain, PO box, VPS, API if included)</t>
  </si>
  <si>
    <t xml:space="preserve">Domain amortised monthly here; paid upfront in the cash view.</t>
  </si>
  <si>
    <t xml:space="preserve">Paid ads £ (needs your OK per spend)</t>
  </si>
  <si>
    <t xml:space="preserve">Blue cells: type a spend only after you approve it. €35 test ≈ £30.</t>
  </si>
  <si>
    <t xml:space="preserve">Total operating costs £</t>
  </si>
  <si>
    <t xml:space="preserve">NET RESULT £</t>
  </si>
  <si>
    <t xml:space="preserve">CASH</t>
  </si>
  <si>
    <t xml:space="preserve">Opening cash £</t>
  </si>
  <si>
    <t xml:space="preserve">M1 starts from Inputs 'Cash set aside'.</t>
  </si>
  <si>
    <t xml:space="preserve">Cash in £ (net of VAT/fees/refunds, after payout delay)</t>
  </si>
  <si>
    <t xml:space="preserve">Cash out £</t>
  </si>
  <si>
    <t xml:space="preserve">  of which fixed costs paid this month £</t>
  </si>
  <si>
    <t xml:space="preserve">Domain's year paid in M1.</t>
  </si>
  <si>
    <t xml:space="preserve">Closing cash £</t>
  </si>
  <si>
    <t xml:space="preserve">Lowest closing cash in the 90 days £</t>
  </si>
  <si>
    <t xml:space="preserve">If this is below zero, the business needs that much from your own pocket over the period.</t>
  </si>
  <si>
    <t xml:space="preserve">Paid Instagram ads: what a result costs and what it is worth</t>
  </si>
  <si>
    <t xml:space="preserve">Rule: no spend happens without your OK for that specific spend. Benchmarks are aggregated 2026 figures with no UK split; your own ad screenshot replaces them.</t>
  </si>
  <si>
    <t xml:space="preserve">The €35 test (€5/day x 7 days, one winning reel)</t>
  </si>
  <si>
    <t xml:space="preserve">Expensive clicks</t>
  </si>
  <si>
    <t xml:space="preserve">Middle</t>
  </si>
  <si>
    <t xml:space="preserve">Cheap clicks</t>
  </si>
  <si>
    <t xml:space="preserve">Spend £</t>
  </si>
  <si>
    <t xml:space="preserve">€35 converted.</t>
  </si>
  <si>
    <t xml:space="preserve">Cost per link click £</t>
  </si>
  <si>
    <t xml:space="preserve">Benchmark $0.40-1.80 converted; middle = average of the two.</t>
  </si>
  <si>
    <t xml:space="preserve">Impressions at Reels CPM (for reference)</t>
  </si>
  <si>
    <t xml:space="preserve">Benchmark Reels CPM $4-8.</t>
  </si>
  <si>
    <t xml:space="preserve">Guide page sign-up rate (base scenario)</t>
  </si>
  <si>
    <t xml:space="preserve">Same assumption as organic.</t>
  </si>
  <si>
    <t xml:space="preserve">Cost per guide sign-up £</t>
  </si>
  <si>
    <t xml:space="preserve">Journal sales (sign-ups x purchase rate + direct buyers)</t>
  </si>
  <si>
    <t xml:space="preserve">Base-scenario assumptions.</t>
  </si>
  <si>
    <t xml:space="preserve">Cost per journal sale £</t>
  </si>
  <si>
    <t xml:space="preserve">Followers if run as a profile-visit boost</t>
  </si>
  <si>
    <t xml:space="preserve">Assumed £0.30-1.50 per follower; not sourced.</t>
  </si>
  <si>
    <t xml:space="preserve">Cost per follower £</t>
  </si>
  <si>
    <t xml:space="preserve">Contribution earned back from journal sales £</t>
  </si>
  <si>
    <t xml:space="preserve">Return on spend</t>
  </si>
  <si>
    <t xml:space="preserve">Below 100% = the test costs money; it buys data, not profit.</t>
  </si>
  <si>
    <t xml:space="preserve">Break-even: the most a result can cost before ads lose money</t>
  </si>
  <si>
    <t xml:space="preserve">Max cost per journal sale £ (= contribution per sale)</t>
  </si>
  <si>
    <t xml:space="preserve">Max cost per guide sign-up £ (= value of a sign-up, base scenario)</t>
  </si>
  <si>
    <t xml:space="preserve">At a 2% purchase rate a sign-up is worth ~20p in journal profit within 90 days. Paid sign-ups only pay back once the list buys more than one product (bundle, Substack, later streams).</t>
  </si>
  <si>
    <t xml:space="preserve">Your ad results (from the screenshot you still owe)</t>
  </si>
  <si>
    <t xml:space="preserve">Fill these from Instagram &gt; Professional dashboard &gt; Ad tools, or send the screenshot and Claude fills them.</t>
  </si>
  <si>
    <t xml:space="preserve">Impressions</t>
  </si>
  <si>
    <t xml:space="preserve">Reach</t>
  </si>
  <si>
    <t xml:space="preserve">Link clicks or results</t>
  </si>
  <si>
    <t xml:space="preserve">Followers gained</t>
  </si>
  <si>
    <t xml:space="preserve">Guide sign-ups attributed (src=ig_ad)</t>
  </si>
  <si>
    <t xml:space="preserve">Journal sales attributed</t>
  </si>
  <si>
    <t xml:space="preserve">Your cost per click £</t>
  </si>
  <si>
    <t xml:space="preserve">Your cost per follower £</t>
  </si>
  <si>
    <t xml:space="preserve">Your cost per guide sign-up £</t>
  </si>
  <si>
    <t xml:space="preserve">Your cost per journal sale £</t>
  </si>
  <si>
    <t xml:space="preserve">Your CPM £</t>
  </si>
  <si>
    <t xml:space="preserve">Brand partnership rate card (tied to measured numbers only)</t>
  </si>
  <si>
    <t xml:space="preserve">Price = average views per reel ÷ 1,000 x creator CPM. Nano-tier floors apply only once you pass 1,000 followers. Every deal needs your OK, #ad disclosure (ASA/CAP), and the outreach rules in community-agent (PO box, consent).</t>
  </si>
  <si>
    <t xml:space="preserve">Today</t>
  </si>
  <si>
    <t xml:space="preserve">At the outreach gate</t>
  </si>
  <si>
    <t xml:space="preserve">Average views per reel</t>
  </si>
  <si>
    <t xml:space="preserve">Gate: median reel views ≥ 1,000 for 4 weeks (Gates sheet).</t>
  </si>
  <si>
    <t xml:space="preserve">Followers</t>
  </si>
  <si>
    <t xml:space="preserve">Creator CPM low / high $</t>
  </si>
  <si>
    <t xml:space="preserve">influee.co 2026: $5-15 per 1,000 views for nano/micro.</t>
  </si>
  <si>
    <t xml:space="preserve">Package</t>
  </si>
  <si>
    <t xml:space="preserve">Today low £</t>
  </si>
  <si>
    <t xml:space="preserve">Today high £</t>
  </si>
  <si>
    <t xml:space="preserve">At gate (low-high midpoint) £</t>
  </si>
  <si>
    <t xml:space="preserve">How it's priced</t>
  </si>
  <si>
    <t xml:space="preserve">One reel (in-feed + reels tab)</t>
  </si>
  <si>
    <t xml:space="preserve">Base rate.</t>
  </si>
  <si>
    <t xml:space="preserve">Carousel (7 slides)</t>
  </si>
  <si>
    <t xml:space="preserve">0.8x reel: lower reach on feed posts today (53 vs 1.1k views).</t>
  </si>
  <si>
    <t xml:space="preserve">Story set (3 frames, link sticker)</t>
  </si>
  <si>
    <t xml:space="preserve">0.5x reel.</t>
  </si>
  <si>
    <t xml:space="preserve">Link in bio / links page for 7 days</t>
  </si>
  <si>
    <t xml:space="preserve">0.3x reel.</t>
  </si>
  <si>
    <t xml:space="preserve">Substack sponsor line (per issue)</t>
  </si>
  <si>
    <t xml:space="preserve">Separate: subscribers x 45% opens ÷ 1,000 x £25 CPM (assumption). £0 until the publication exists.</t>
  </si>
  <si>
    <t xml:space="preserve">Usage rights for brand ads (per month)</t>
  </si>
  <si>
    <t xml:space="preserve">+30% of the package per month (common practice, assumption).</t>
  </si>
  <si>
    <t xml:space="preserve">Category exclusivity (per month)</t>
  </si>
  <si>
    <t xml:space="preserve">+25% (assumption).</t>
  </si>
  <si>
    <t xml:space="preserve">Sellable today?</t>
  </si>
  <si>
    <t xml:space="preserve">At today's numbers a reel is worth about £0.50-1.50 to a sponsor, so outreach would cost more in time than it earns.</t>
  </si>
  <si>
    <t xml:space="preserve">Category (from the sponsorship CRM)</t>
  </si>
  <si>
    <t xml:space="preserve">Fit</t>
  </si>
  <si>
    <t xml:space="preserve">Notes and red lines</t>
  </si>
  <si>
    <t xml:space="preserve">Stationery (notebooks, pens, planners)</t>
  </si>
  <si>
    <t xml:space="preserve">Strong</t>
  </si>
  <si>
    <t xml:space="preserve">Natural fit with journaling; also merch overlap.</t>
  </si>
  <si>
    <t xml:space="preserve">Books and publishers (philosophy, psychology)</t>
  </si>
  <si>
    <t xml:space="preserve">Affiliate first, sponsored reading lists later.</t>
  </si>
  <si>
    <t xml:space="preserve">Education (courses, learning platforms)</t>
  </si>
  <si>
    <t xml:space="preserve">Good</t>
  </si>
  <si>
    <t xml:space="preserve">Only reputable providers; no 'get rich' courses.</t>
  </si>
  <si>
    <t xml:space="preserve">Mindfulness and meditation apps</t>
  </si>
  <si>
    <t xml:space="preserve">No clinical or therapy claims; you are not a therapist.</t>
  </si>
  <si>
    <t xml:space="preserve">Productivity software</t>
  </si>
  <si>
    <t xml:space="preserve">Medium</t>
  </si>
  <si>
    <t xml:space="preserve">Fits the Tools highlight; avoid hustle framing.</t>
  </si>
  <si>
    <t xml:space="preserve">Men's grooming</t>
  </si>
  <si>
    <t xml:space="preserve">Weak</t>
  </si>
  <si>
    <t xml:space="preserve">Off-positioning: the brand is not men-only or young-men framed.</t>
  </si>
  <si>
    <t xml:space="preserve">Accessories (watches, bags)</t>
  </si>
  <si>
    <t xml:space="preserve">Only minimal, slow-design brands; no luxury flexing.</t>
  </si>
  <si>
    <t xml:space="preserve">Professional development</t>
  </si>
  <si>
    <t xml:space="preserve">Coaching platforms, writing tools.</t>
  </si>
  <si>
    <t xml:space="preserve">Never</t>
  </si>
  <si>
    <t xml:space="preserve">No</t>
  </si>
  <si>
    <t xml:space="preserve">Gambling, crypto, supplements, alcohol, payday loans, red-pill content, anything making health claims.</t>
  </si>
  <si>
    <t xml:space="preserve">Other income streams: margin, effort, threshold and order</t>
  </si>
  <si>
    <t xml:space="preserve">Contribution excludes your time (effort captures that). 'Volume at gate' is a deliberately small assumption for the first month after the gate is met. Score = monthly contribution at gate ÷ effort; rank 1 = do first.</t>
  </si>
  <si>
    <t xml:space="preserve">Stream</t>
  </si>
  <si>
    <t xml:space="preserve">Price £</t>
  </si>
  <si>
    <t xml:space="preserve">Fees + COGS per unit £</t>
  </si>
  <si>
    <t xml:space="preserve">Contribution per unit £</t>
  </si>
  <si>
    <t xml:space="preserve">Margin</t>
  </si>
  <si>
    <t xml:space="preserve">Effort (1-5)</t>
  </si>
  <si>
    <t xml:space="preserve">Gate before it's realistic</t>
  </si>
  <si>
    <t xml:space="preserve">Units/month at gate</t>
  </si>
  <si>
    <t xml:space="preserve">Monthly contribution at gate £</t>
  </si>
  <si>
    <t xml:space="preserve">Score</t>
  </si>
  <si>
    <t xml:space="preserve">Rank</t>
  </si>
  <si>
    <t xml:space="preserve">Horizon</t>
  </si>
  <si>
    <t xml:space="preserve">Notes and risks</t>
  </si>
  <si>
    <t xml:space="preserve">Journal + digital products</t>
  </si>
  <si>
    <t xml:space="preserve">Shop live (already built, test mode)</t>
  </si>
  <si>
    <t xml:space="preserve">90 days</t>
  </si>
  <si>
    <t xml:space="preserve">Built and priced by the shop thread. Zero cost of goods.</t>
  </si>
  <si>
    <t xml:space="preserve">Affiliate links (books, stationery)</t>
  </si>
  <si>
    <t xml:space="preserve">Any reach; Week 3 of the monetisation plan</t>
  </si>
  <si>
    <t xml:space="preserve">Tiny money; useful mainly to measure buying intent. #ad disclosure.</t>
  </si>
  <si>
    <t xml:space="preserve">Print edition of the journal (KDP)</t>
  </si>
  <si>
    <t xml:space="preserve">50 digital sales or repeated requests for print</t>
  </si>
  <si>
    <t xml:space="preserve">3-6 months</t>
  </si>
  <si>
    <t xml:space="preserve">No stock; Amazon prints and posts. Cost of goods = printing.</t>
  </si>
  <si>
    <t xml:space="preserve">Merch (POD tee via Etsy)</t>
  </si>
  <si>
    <t xml:space="preserve">50 journal sales + people asking for merch</t>
  </si>
  <si>
    <t xml:space="preserve">4-6 months</t>
  </si>
  <si>
    <t xml:space="preserve">Physical returns and support; needs samples (~£45).</t>
  </si>
  <si>
    <t xml:space="preserve">Brand partnerships / sponsored posts</t>
  </si>
  <si>
    <t xml:space="preserve">≥1,000 followers, median reel views ≥1,000 for 4 weeks, PO box, media kit</t>
  </si>
  <si>
    <t xml:space="preserve">4-8 months</t>
  </si>
  <si>
    <t xml:space="preserve">Rate card ties price to measured views. Each deal needs your OK.</t>
  </si>
  <si>
    <t xml:space="preserve">Live online workshop (90 min)</t>
  </si>
  <si>
    <t xml:space="preserve">≥500 on the email list</t>
  </si>
  <si>
    <t xml:space="preserve">Free tools (Google Meet). Record it to become course material.</t>
  </si>
  <si>
    <t xml:space="preserve">Paid Substack tier</t>
  </si>
  <si>
    <t xml:space="preserve">1,000 free subscribers, ≥45% opens (Substack plan)</t>
  </si>
  <si>
    <t xml:space="preserve">6-12 months</t>
  </si>
  <si>
    <t xml:space="preserve">Recurring, but needs a weekly paid-only piece you'd keep up.</t>
  </si>
  <si>
    <t xml:space="preserve">Small-group reflective mentoring (cohort of 6)</t>
  </si>
  <si>
    <t xml:space="preserve">≥1,000 list + 10 people asking</t>
  </si>
  <si>
    <t xml:space="preserve">6-9 months</t>
  </si>
  <si>
    <t xml:space="preserve">Not therapy: reflective mentoring with a clear scope, signposting to professionals, no crisis work. Breaks anonymity unless run under the brand voice only.</t>
  </si>
  <si>
    <t xml:space="preserve">1:1 reflective mentoring (50 min)</t>
  </si>
  <si>
    <t xml:space="preserve">Same scope limits. Consider professional indemnity insurance (~£10-15/mo, assumption) before the first paid session.</t>
  </si>
  <si>
    <t xml:space="preserve">300+ engaged newsletter readers (monetisation plan)</t>
  </si>
  <si>
    <t xml:space="preserve">9-12 months</t>
  </si>
  <si>
    <t xml:space="preserve">Ongoing moderation load; overlaps paid Substack, so pick one.</t>
  </si>
  <si>
    <t xml:space="preserve">≥1,000 list + 50 journal buyers</t>
  </si>
  <si>
    <t xml:space="preserve">Sold through the same shop (VAT handled). Big build.</t>
  </si>
  <si>
    <t xml:space="preserve">Licensing the content system to other brands</t>
  </si>
  <si>
    <t xml:space="preserve">Moodius meets Phase 0 gates and the engine is productised (strategy/09 Phase 1)</t>
  </si>
  <si>
    <t xml:space="preserve">12+ months</t>
  </si>
  <si>
    <t xml:space="preserve">Contracts, support, IP. Only after the engine runs 2-3 of your own brands.</t>
  </si>
  <si>
    <t xml:space="preserve">Unlock thresholds: what has to be true before the next spend or stream</t>
  </si>
  <si>
    <t xml:space="preserve">Current values link to Inputs; update Inputs weekly and the status updates itself. A met gate still needs your OK for any spend.</t>
  </si>
  <si>
    <t xml:space="preserve">Gate</t>
  </si>
  <si>
    <t xml:space="preserve">What it unlocks</t>
  </si>
  <si>
    <t xml:space="preserve">Current</t>
  </si>
  <si>
    <t xml:space="preserve">Target</t>
  </si>
  <si>
    <t xml:space="preserve">Why this number</t>
  </si>
  <si>
    <t xml:space="preserve">Shop live</t>
  </si>
  <si>
    <t xml:space="preserve">Product reels P001-P006, journal revenue</t>
  </si>
  <si>
    <t xml:space="preserve">Nothing can be sold before this.</t>
  </si>
  <si>
    <t xml:space="preserve">Organic guide sign-ups (cumulative)</t>
  </si>
  <si>
    <t xml:space="preserve">€35 ad test (with your OK)</t>
  </si>
  <si>
    <t xml:space="preserve">Proves the guide page converts organically, so an ad isn't buying the first-ever test.</t>
  </si>
  <si>
    <t xml:space="preserve">A reel at ≥2x the median views</t>
  </si>
  <si>
    <t xml:space="preserve">Pick the ad creative</t>
  </si>
  <si>
    <t xml:space="preserve">Proxy uses the best day's reel views. Boost a proven reel, never an untested one.</t>
  </si>
  <si>
    <t xml:space="preserve">Ad test cost per sign-up ≤ 3x a sign-up's value</t>
  </si>
  <si>
    <t xml:space="preserve">Second ad round (€70-100, with your OK)</t>
  </si>
  <si>
    <t xml:space="preserve">Enter your result from the Ads sheet. 3x allows for the bundle and later streams.</t>
  </si>
  <si>
    <t xml:space="preserve">Journal orders</t>
  </si>
  <si>
    <t xml:space="preserve">Build the £29 bundle</t>
  </si>
  <si>
    <t xml:space="preserve">Shop thread's rule (or 6 weeks on sale).</t>
  </si>
  <si>
    <t xml:space="preserve">Merch samples (~£45) and the print edition</t>
  </si>
  <si>
    <t xml:space="preserve">Proof people pay for the brand before adding physical products.</t>
  </si>
  <si>
    <t xml:space="preserve">VPS + Claude API for comment replies (€6-15/mo)</t>
  </si>
  <si>
    <t xml:space="preserve">Below this you answer by hand in a few minutes a day.</t>
  </si>
  <si>
    <t xml:space="preserve">Brand outreach (plus PO box and 4 weeks of data)</t>
  </si>
  <si>
    <t xml:space="preserve">Nano tier starts at 1,000; brands check this first.</t>
  </si>
  <si>
    <t xml:space="preserve">Median reel views</t>
  </si>
  <si>
    <t xml:space="preserve">Brand outreach; base-scenario revenue</t>
  </si>
  <si>
    <t xml:space="preserve">At this level the rate card prices a reel at ~£37 (nano floor); below it outreach isn't worth the time.</t>
  </si>
  <si>
    <t xml:space="preserve">Phase 0 → Phase 1 of the scaling roadmap</t>
  </si>
  <si>
    <t xml:space="preserve">strategy/09 gate (3 weeks in a row).</t>
  </si>
  <si>
    <t xml:space="preserve">Email list (guide + Substack)</t>
  </si>
  <si>
    <t xml:space="preserve">Live workshop pilot</t>
  </si>
  <si>
    <t xml:space="preserve">~3% of a list buying a £15 ticket ≈ 15 seats.</t>
  </si>
  <si>
    <t xml:space="preserve">Substack plan gate; at 3% conversion that's ~30 paying.</t>
  </si>
  <si>
    <t xml:space="preserve">Mentoring pilot (small group first)</t>
  </si>
  <si>
    <t xml:space="preserve">Plus 10 people asking unprompted.</t>
  </si>
  <si>
    <t xml:space="preserve">Engaged newsletter readers</t>
  </si>
  <si>
    <t xml:space="preserve">Monetisation plan gate; engaged ≈ 30% of subscribers (assumption).</t>
  </si>
  <si>
    <t xml:space="preserve">Months with contribution ≥ fixed costs</t>
  </si>
  <si>
    <t xml:space="preserve">Any new recurring cost</t>
  </si>
  <si>
    <t xml:space="preserve">Enter the count from your monthly review; keeps the business self-funding.</t>
  </si>
  <si>
    <t xml:space="preserve">12-month sequence (gated: a step moves when its gate is met, not on the date)</t>
  </si>
  <si>
    <t xml:space="preserve">Months</t>
  </si>
  <si>
    <t xml:space="preserve">Focus</t>
  </si>
  <si>
    <t xml:space="preserve">Income active or tested</t>
  </si>
  <si>
    <t xml:space="preserve">Spend that may unlock (each needs your OK)</t>
  </si>
  <si>
    <t xml:space="preserve">Nov 2026</t>
  </si>
  <si>
    <t xml:space="preserve">Shop live, guide page, DM keyword funnel, essays weekly from 5 Nov</t>
  </si>
  <si>
    <t xml:space="preserve">Journal, affiliate test</t>
  </si>
  <si>
    <t xml:space="preserve">Domain £10/yr, PO box ~£10/mo</t>
  </si>
  <si>
    <t xml:space="preserve">Dec 2026</t>
  </si>
  <si>
    <t xml:space="preserve">Day-30 review; holiday gift edition push</t>
  </si>
  <si>
    <t xml:space="preserve">Journal, gift edition, affiliate</t>
  </si>
  <si>
    <t xml:space="preserve">€35 ad test if 25 organic sign-ups</t>
  </si>
  <si>
    <t xml:space="preserve">Jan 2027</t>
  </si>
  <si>
    <t xml:space="preserve">Day-90 review (31 Jan); Substack vs Ghost revisit 30 Jan</t>
  </si>
  <si>
    <t xml:space="preserve">Journal; bundle if 25 orders</t>
  </si>
  <si>
    <t xml:space="preserve">Second ad round only if the test passed</t>
  </si>
  <si>
    <t xml:space="preserve">Feb-Mar 2027</t>
  </si>
  <si>
    <t xml:space="preserve">Bundle + workbooks; Phase 1 engine productisation if Phase 0 met</t>
  </si>
  <si>
    <t xml:space="preserve">Journal, bundle, upgrade</t>
  </si>
  <si>
    <t xml:space="preserve">VPS + Claude API if comments ≥ 20/week</t>
  </si>
  <si>
    <t xml:space="preserve">Apr-Jun 2027</t>
  </si>
  <si>
    <t xml:space="preserve">Print edition and merch pilot if 50 orders; first brand deals if 1k followers / 1k views</t>
  </si>
  <si>
    <t xml:space="preserve">+ print edition, merch, sponsored posts, workshop pilot</t>
  </si>
  <si>
    <t xml:space="preserve">Merch samples ~£45; Etsy listings</t>
  </si>
  <si>
    <t xml:space="preserve">Jul-Sep 2027</t>
  </si>
  <si>
    <t xml:space="preserve">Paid Substack if 1,000 free; small-group mentoring pilot</t>
  </si>
  <si>
    <t xml:space="preserve">+ paid Substack, mentoring</t>
  </si>
  <si>
    <t xml:space="preserve">Insurance before paid mentoring</t>
  </si>
  <si>
    <t xml:space="preserve">Oct 2027</t>
  </si>
  <si>
    <t xml:space="preserve">12-month review; decide membership vs course; brands 2-3</t>
  </si>
  <si>
    <t xml:space="preserve">+ membership or course</t>
  </si>
  <si>
    <t xml:space="preserve">Metricool upgrade for more brands (strategy/09)</t>
  </si>
  <si>
    <t xml:space="preserve">Licensing the content system once it runs 2-3 of your own brands</t>
  </si>
  <si>
    <t xml:space="preserve">+ licensing</t>
  </si>
  <si>
    <t xml:space="preserve">Legal review of a licence contract</t>
  </si>
  <si>
    <t xml:space="preserve">What only Surafel can provide</t>
  </si>
  <si>
    <t xml:space="preserve">Where it goes</t>
  </si>
  <si>
    <t xml:space="preserve">Why</t>
  </si>
  <si>
    <t xml:space="preserve">Ad results screenshot</t>
  </si>
  <si>
    <t xml:space="preserve">Ads sheet, yellow cells</t>
  </si>
  <si>
    <t xml:space="preserve">Replaces the benchmark cost per click/follower with your real numbers.</t>
  </si>
  <si>
    <t xml:space="preserve">Owed</t>
  </si>
  <si>
    <t xml:space="preserve">Approve domain (£10/yr) and PO box (£5-15/mo)</t>
  </si>
  <si>
    <t xml:space="preserve">Fixed costs: Include column</t>
  </si>
  <si>
    <t xml:space="preserve">Both are switched on in the model already; set to 0 if you decline.</t>
  </si>
  <si>
    <t xml:space="preserve">Pending</t>
  </si>
  <si>
    <t xml:space="preserve">OK for VPS + Claude API (€6-15/mo)</t>
  </si>
  <si>
    <t xml:space="preserve">Off until the comments gate is met.</t>
  </si>
  <si>
    <t xml:space="preserve">Shop live date</t>
  </si>
  <si>
    <t xml:space="preserve">Inputs: Shop live month, Shop live flag</t>
  </si>
  <si>
    <t xml:space="preserve">Revenue starts that month.</t>
  </si>
  <si>
    <t xml:space="preserve">Starting cash / budget for the business</t>
  </si>
  <si>
    <t xml:space="preserve">Inputs: Cash set aside</t>
  </si>
  <si>
    <t xml:space="preserve">Shows whether cash ever goes negative.</t>
  </si>
  <si>
    <t xml:space="preserve">Real Stripe fees and payout schedule once live</t>
  </si>
  <si>
    <t xml:space="preserve">Inputs: Stripe rows, payout delay</t>
  </si>
  <si>
    <t xml:space="preserve">Benchmarks today; your statements later.</t>
  </si>
  <si>
    <t xml:space="preserve">After launch</t>
  </si>
  <si>
    <t xml:space="preserve">Buyer country mix</t>
  </si>
  <si>
    <t xml:space="preserve">Inputs: Buyer mix</t>
  </si>
  <si>
    <t xml:space="preserve">From Stripe after ~25 sales.</t>
  </si>
  <si>
    <t xml:space="preserve">Merch supplier choice and real base costs</t>
  </si>
  <si>
    <t xml:space="preserve">Merch sheet, blue cells</t>
  </si>
  <si>
    <t xml:space="preserve">Printful prices shown; Printify/Gelato differ. Notebook price is an estimate.</t>
  </si>
  <si>
    <t xml:space="preserve">Later</t>
  </si>
  <si>
    <t xml:space="preserve">Where you're tax-resident and whether you're VAT-registered</t>
  </si>
  <si>
    <t xml:space="preserve">Tell Claude (affects Merch and own-site sales)</t>
  </si>
  <si>
    <t xml:space="preserve">Stripe Managed Payments and Etsy cover VAT on sales; your income tax isn't modelled. Check with an accountant.</t>
  </si>
  <si>
    <t xml:space="preserve">Open</t>
  </si>
  <si>
    <t xml:space="preserve">Weekly numbers: sign-ups, orders, comments, Substack subs</t>
  </si>
  <si>
    <t xml:space="preserve">Inputs: Measured section</t>
  </si>
  <si>
    <t xml:space="preserve">Drives the Gates sheet.</t>
  </si>
  <si>
    <t xml:space="preserve">Weekly</t>
  </si>
  <si>
    <t xml:space="preserve">Mentoring yes/no (it may break anonymity)</t>
  </si>
  <si>
    <t xml:space="preserve">Positioned as reflective mentoring, not therapy.</t>
  </si>
  <si>
    <t xml:space="preserve">Exchange rates</t>
  </si>
  <si>
    <t xml:space="preserve">Inputs: Currency</t>
  </si>
  <si>
    <t xml:space="preserve">Set to approximate 21 Oct 2026 values.</t>
  </si>
  <si>
    <t xml:space="preserve">Optional</t>
  </si>
  <si>
    <t xml:space="preserve">Sources</t>
  </si>
  <si>
    <t xml:space="preserve">Metricool analytics (measured)</t>
  </si>
  <si>
    <t xml:space="preserve">brand 7224060, IGEV01/05/23/39, pulled 21 Oct 2026</t>
  </si>
  <si>
    <t xml:space="preserve">Journal pricing and fees</t>
  </si>
  <si>
    <t xml:space="preserve">business/pricing/margins.py and margins.csv (digital-products thread); stripe.com/gb/pricing; support.stripe.com/questions/managed-payments-pricing</t>
  </si>
  <si>
    <t xml:space="preserve">Instagram ad CPC/CPM 2026</t>
  </si>
  <si>
    <t xml:space="preserve">https://topgrowthmarketing.com/instagram-ads-cost/ (updated 25 Sep 2026; aggregates AdBacklog, WordStream, Ryze.AI, WebFX)</t>
  </si>
  <si>
    <t xml:space="preserve">Printful tee base + shipping</t>
  </si>
  <si>
    <t xml:space="preserve">https://podvector.ai/articles/printful/costs-and-charges/printful-bella-canvas-3001-price-shipping-time-full-breakdown-for-pod-sellers (May 2026)</t>
  </si>
  <si>
    <t xml:space="preserve">Printful poster base + shipping</t>
  </si>
  <si>
    <t xml:space="preserve">https://podvector.ai/articles/printful/costs-and-charges/printful-poster-pricing-full-breakdown-for-pod-sellers (May 2026)</t>
  </si>
  <si>
    <t xml:space="preserve">Gelato pricing</t>
  </si>
  <si>
    <t xml:space="preserve">https://ecommerce-platforms.com/articles/gelato-print-on-demand-pricing (Gelato+ $19.99-29.99/mo; base costs only in dashboard)</t>
  </si>
  <si>
    <t xml:space="preserve">Creator rates</t>
  </si>
  <si>
    <t xml:space="preserve">https://influee.co/gb/blog/instagram-influencer-pricing (Mar 2026; directional ranges)</t>
  </si>
  <si>
    <t xml:space="preserve">Substack conversion and fees</t>
  </si>
  <si>
    <t xml:space="preserve">https://bestwriting.com/substack-statistics; substack/10-costs-and-apis.md</t>
  </si>
  <si>
    <t xml:space="preserve">Bookshop.org affiliate</t>
  </si>
  <si>
    <t xml:space="preserve">https://www.supadu.com/blogs/news-and-views/bookshop-org</t>
  </si>
  <si>
    <t xml:space="preserve">Etsy fees</t>
  </si>
  <si>
    <t xml:space="preserve">etsy.com/legal/fees (listing $0.20, 6.5% transaction, Etsy Payments UK 4% + £0.20); check before launch</t>
  </si>
  <si>
    <t xml:space="preserve">Gates and plans</t>
  </si>
  <si>
    <t xml:space="preserve">strategy/09-scaling-roadmap.md; community-agent/docs/06-monetisation-30-day.md; business/funnel/bundle-plan.md; substack/08-calendar-90-day.csv</t>
  </si>
</sst>
</file>

<file path=xl/styles.xml><?xml version="1.0" encoding="utf-8"?>
<styleSheet xmlns="http://schemas.openxmlformats.org/spreadsheetml/2006/main">
  <numFmts count="8">
    <numFmt numFmtId="164" formatCode="General"/>
    <numFmt numFmtId="165" formatCode="\£#,##0.00;&quot;(£&quot;#,##0.00\);\-"/>
    <numFmt numFmtId="166" formatCode="\€#,##0.00;&quot;(€&quot;#,##0.00\);\-"/>
    <numFmt numFmtId="167" formatCode="#,##0.0;\(#,##0.0\);\-"/>
    <numFmt numFmtId="168" formatCode="#,##0;\(#,##0\);\-"/>
    <numFmt numFmtId="169" formatCode="0.00"/>
    <numFmt numFmtId="170" formatCode="0.0%;\(0.0%\);\-"/>
    <numFmt numFmtId="171" formatCode="\$#,##0.00;&quot;($&quot;#,##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name val="Arial"/>
      <family val="0"/>
      <charset val="1"/>
    </font>
    <font>
      <sz val="11"/>
      <color rgb="FF0000FF"/>
      <name val="Arial"/>
      <family val="0"/>
      <charset val="1"/>
    </font>
    <font>
      <sz val="11"/>
      <name val="Arial"/>
      <family val="0"/>
      <charset val="1"/>
    </font>
    <font>
      <sz val="11"/>
      <color rgb="FF008000"/>
      <name val="Arial"/>
      <family val="0"/>
      <charset val="1"/>
    </font>
    <font>
      <b val="true"/>
      <sz val="11"/>
      <color rgb="FFFFFFFF"/>
      <name val="Arial"/>
      <family val="0"/>
      <charset val="1"/>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2A2F36"/>
        <bgColor rgb="FF3A4049"/>
      </patternFill>
    </fill>
    <fill>
      <patternFill patternType="solid">
        <fgColor rgb="FFF3EFE7"/>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EFE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9742E"/>
      <rgbColor rgb="FF555555"/>
      <rgbColor rgb="FF969696"/>
      <rgbColor rgb="FF003366"/>
      <rgbColor rgb="FF339966"/>
      <rgbColor rgb="FF003300"/>
      <rgbColor rgb="FF3A4049"/>
      <rgbColor rgb="FF993300"/>
      <rgbColor rgb="FF993366"/>
      <rgbColor rgb="FF333399"/>
      <rgbColor rgb="FF2A2F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742E"/>
    <pageSetUpPr fitToPage="fals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6"/>
    <col collapsed="false" customWidth="true" hidden="false" outlineLevel="0" max="5" min="5" style="0" width="5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5" t="s">
        <v>4</v>
      </c>
    </row>
    <row r="7" customFormat="false" ht="15" hidden="false" customHeight="false" outlineLevel="0" collapsed="false">
      <c r="A7" s="6" t="s">
        <v>5</v>
      </c>
    </row>
    <row r="8" customFormat="false" ht="15" hidden="false" customHeight="false" outlineLevel="0" collapsed="false">
      <c r="A8" s="7" t="s">
        <v>6</v>
      </c>
    </row>
    <row r="10" customFormat="false" ht="30" hidden="false" customHeight="true" outlineLevel="0" collapsed="false">
      <c r="A10" s="8" t="s">
        <v>7</v>
      </c>
      <c r="B10" s="8" t="s">
        <v>8</v>
      </c>
      <c r="C10" s="8" t="s">
        <v>9</v>
      </c>
      <c r="D10" s="8" t="s">
        <v>10</v>
      </c>
      <c r="E10" s="8" t="s">
        <v>11</v>
      </c>
    </row>
    <row r="11" customFormat="false" ht="15" hidden="false" customHeight="false" outlineLevel="0" collapsed="false">
      <c r="A11" s="3" t="s">
        <v>12</v>
      </c>
      <c r="B11" s="9" t="n">
        <f aca="false">'Fixed costs'!$D$17</f>
        <v>28.2246376811594</v>
      </c>
      <c r="C11" s="9" t="n">
        <f aca="false">'Fixed costs'!$D$17</f>
        <v>28.2246376811594</v>
      </c>
      <c r="D11" s="9" t="n">
        <f aca="false">'Fixed costs'!$D$17</f>
        <v>28.2246376811594</v>
      </c>
      <c r="E11" s="10" t="s">
        <v>13</v>
      </c>
    </row>
    <row r="12" customFormat="false" ht="15" hidden="false" customHeight="false" outlineLevel="0" collapsed="false">
      <c r="A12" s="3" t="s">
        <v>14</v>
      </c>
      <c r="B12" s="11" t="n">
        <f aca="false">'Fixed costs'!$D$17*Inputs!$C$6</f>
        <v>32.4583333333333</v>
      </c>
      <c r="C12" s="11" t="n">
        <f aca="false">'Fixed costs'!$D$17*Inputs!$C$6</f>
        <v>32.4583333333333</v>
      </c>
      <c r="D12" s="11" t="n">
        <f aca="false">'Fixed costs'!$D$17*Inputs!$C$6</f>
        <v>32.4583333333333</v>
      </c>
      <c r="E12" s="10" t="s">
        <v>15</v>
      </c>
    </row>
    <row r="13" customFormat="false" ht="15" hidden="false" customHeight="false" outlineLevel="0" collapsed="false">
      <c r="A13" s="3" t="s">
        <v>16</v>
      </c>
      <c r="B13" s="9" t="n">
        <f aca="false">Journals!$J$6</f>
        <v>10.1604666666667</v>
      </c>
      <c r="C13" s="9" t="n">
        <f aca="false">Journals!$J$6</f>
        <v>10.1604666666667</v>
      </c>
      <c r="D13" s="9" t="n">
        <f aca="false">Journals!$J$6</f>
        <v>10.1604666666667</v>
      </c>
      <c r="E13" s="10" t="s">
        <v>17</v>
      </c>
    </row>
    <row r="14" customFormat="false" ht="15" hidden="false" customHeight="false" outlineLevel="0" collapsed="false">
      <c r="A14" s="3" t="s">
        <v>18</v>
      </c>
      <c r="B14" s="12" t="n">
        <f aca="false">Scenarios!$B$29</f>
        <v>2.77788792652169</v>
      </c>
      <c r="C14" s="12" t="n">
        <f aca="false">Scenarios!$C$29</f>
        <v>2.77788792652169</v>
      </c>
      <c r="D14" s="12" t="n">
        <f aca="false">Scenarios!$D$29</f>
        <v>2.77788792652169</v>
      </c>
      <c r="E14" s="10"/>
    </row>
    <row r="15" customFormat="false" ht="15" hidden="false" customHeight="false" outlineLevel="0" collapsed="false">
      <c r="A15" s="3" t="s">
        <v>19</v>
      </c>
      <c r="B15" s="9" t="n">
        <f aca="false">Scenarios!$B$25</f>
        <v>0.226</v>
      </c>
      <c r="C15" s="9" t="n">
        <f aca="false">Scenarios!$C$25</f>
        <v>0.956</v>
      </c>
      <c r="D15" s="9" t="n">
        <f aca="false">Scenarios!$D$25</f>
        <v>4.152</v>
      </c>
      <c r="E15" s="10" t="s">
        <v>20</v>
      </c>
    </row>
    <row r="16" customFormat="false" ht="15" hidden="false" customHeight="false" outlineLevel="0" collapsed="false">
      <c r="A16" s="3" t="s">
        <v>21</v>
      </c>
      <c r="B16" s="13" t="n">
        <f aca="false">Scenarios!$B$28</f>
        <v>163861.862035498</v>
      </c>
      <c r="C16" s="13" t="n">
        <f aca="false">Scenarios!$C$28</f>
        <v>39737.9066827361</v>
      </c>
      <c r="D16" s="13" t="n">
        <f aca="false">Scenarios!$D$28</f>
        <v>9265.47969872358</v>
      </c>
      <c r="E16" s="10" t="s">
        <v>22</v>
      </c>
    </row>
    <row r="17" customFormat="false" ht="15" hidden="false" customHeight="false" outlineLevel="0" collapsed="false">
      <c r="A17" s="3" t="s">
        <v>23</v>
      </c>
      <c r="B17" s="12" t="n">
        <f aca="false">Scenarios!$B$35</f>
        <v>0.128058</v>
      </c>
      <c r="C17" s="12" t="n">
        <f aca="false">Scenarios!$C$35</f>
        <v>1.622208</v>
      </c>
      <c r="D17" s="12" t="n">
        <f aca="false">Scenarios!$D$35</f>
        <v>17.667936</v>
      </c>
      <c r="E17" s="10"/>
    </row>
    <row r="18" customFormat="false" ht="15" hidden="false" customHeight="false" outlineLevel="0" collapsed="false">
      <c r="A18" s="3" t="s">
        <v>24</v>
      </c>
      <c r="B18" s="9" t="n">
        <f aca="false">Scenarios!$B$39</f>
        <v>-83.0983740030783</v>
      </c>
      <c r="C18" s="9" t="n">
        <f aca="false">Scenarios!$C$39</f>
        <v>-66.6707027330783</v>
      </c>
      <c r="D18" s="9" t="n">
        <f aca="false">Scenarios!$D$39</f>
        <v>102.202201753322</v>
      </c>
      <c r="E18" s="10" t="s">
        <v>25</v>
      </c>
    </row>
    <row r="19" customFormat="false" ht="15" hidden="false" customHeight="false" outlineLevel="0" collapsed="false">
      <c r="A19" s="3" t="s">
        <v>26</v>
      </c>
      <c r="B19" s="9" t="n">
        <f aca="false">Ads!$B$11</f>
        <v>4.5</v>
      </c>
      <c r="C19" s="9" t="n">
        <f aca="false">Ads!$C$11</f>
        <v>2.75</v>
      </c>
      <c r="D19" s="9" t="n">
        <f aca="false">Ads!$D$11</f>
        <v>1</v>
      </c>
      <c r="E19" s="10" t="s">
        <v>27</v>
      </c>
    </row>
    <row r="20" customFormat="false" ht="15" hidden="false" customHeight="false" outlineLevel="0" collapsed="false">
      <c r="A20" s="3" t="s">
        <v>28</v>
      </c>
      <c r="B20" s="9" t="n">
        <f aca="false">Ads!$B$13</f>
        <v>84.375</v>
      </c>
      <c r="C20" s="9" t="n">
        <f aca="false">Ads!$C$13</f>
        <v>51.5625</v>
      </c>
      <c r="D20" s="9" t="n">
        <f aca="false">Ads!$D$13</f>
        <v>18.75</v>
      </c>
      <c r="E20" s="10" t="s">
        <v>29</v>
      </c>
    </row>
    <row r="21" customFormat="false" ht="15" hidden="false" customHeight="false" outlineLevel="0" collapsed="false">
      <c r="A21" s="3" t="s">
        <v>30</v>
      </c>
      <c r="B21" s="13" t="n">
        <f aca="false">Gates!$C$21</f>
        <v>1</v>
      </c>
      <c r="C21" s="13" t="n">
        <f aca="false">Gates!$D$21</f>
        <v>15</v>
      </c>
      <c r="E21" s="10" t="s">
        <v>31</v>
      </c>
    </row>
    <row r="23" customFormat="false" ht="15" hidden="false" customHeight="false" outlineLevel="0" collapsed="false">
      <c r="A23" s="3" t="s">
        <v>32</v>
      </c>
    </row>
    <row r="24" customFormat="false" ht="15" hidden="false" customHeight="false" outlineLevel="0" collapsed="false">
      <c r="A24" s="5" t="s">
        <v>33</v>
      </c>
      <c r="B24" s="2" t="s">
        <v>34</v>
      </c>
    </row>
    <row r="25" customFormat="false" ht="15" hidden="false" customHeight="false" outlineLevel="0" collapsed="false">
      <c r="A25" s="5" t="s">
        <v>35</v>
      </c>
      <c r="B25" s="2" t="s">
        <v>36</v>
      </c>
    </row>
    <row r="26" customFormat="false" ht="15" hidden="false" customHeight="false" outlineLevel="0" collapsed="false">
      <c r="A26" s="5" t="s">
        <v>37</v>
      </c>
      <c r="B26" s="2" t="s">
        <v>38</v>
      </c>
    </row>
    <row r="27" customFormat="false" ht="15" hidden="false" customHeight="false" outlineLevel="0" collapsed="false">
      <c r="A27" s="5" t="s">
        <v>39</v>
      </c>
      <c r="B27" s="2" t="s">
        <v>40</v>
      </c>
    </row>
    <row r="28" customFormat="false" ht="15" hidden="false" customHeight="false" outlineLevel="0" collapsed="false">
      <c r="A28" s="5" t="s">
        <v>41</v>
      </c>
      <c r="B28" s="2" t="s">
        <v>42</v>
      </c>
    </row>
    <row r="29" customFormat="false" ht="15" hidden="false" customHeight="false" outlineLevel="0" collapsed="false">
      <c r="A29" s="5" t="s">
        <v>43</v>
      </c>
      <c r="B29" s="2" t="s">
        <v>44</v>
      </c>
    </row>
    <row r="30" customFormat="false" ht="15" hidden="false" customHeight="false" outlineLevel="0" collapsed="false">
      <c r="A30" s="5" t="s">
        <v>45</v>
      </c>
      <c r="B30" s="2" t="s">
        <v>46</v>
      </c>
    </row>
    <row r="31" customFormat="false" ht="15" hidden="false" customHeight="false" outlineLevel="0" collapsed="false">
      <c r="A31" s="5" t="s">
        <v>47</v>
      </c>
      <c r="B31" s="2" t="s">
        <v>48</v>
      </c>
    </row>
    <row r="32" customFormat="false" ht="15" hidden="false" customHeight="false" outlineLevel="0" collapsed="false">
      <c r="A32" s="5" t="s">
        <v>49</v>
      </c>
      <c r="B32" s="2" t="s">
        <v>50</v>
      </c>
    </row>
    <row r="33" customFormat="false" ht="15" hidden="false" customHeight="false" outlineLevel="0" collapsed="false">
      <c r="A33" s="5" t="s">
        <v>51</v>
      </c>
      <c r="B33" s="2" t="s">
        <v>52</v>
      </c>
    </row>
    <row r="34" customFormat="false" ht="15" hidden="false" customHeight="false" outlineLevel="0" collapsed="false">
      <c r="A34" s="5" t="s">
        <v>53</v>
      </c>
      <c r="B34" s="2" t="s">
        <v>54</v>
      </c>
    </row>
    <row r="35" customFormat="false" ht="15" hidden="false" customHeight="false" outlineLevel="0" collapsed="false">
      <c r="A35" s="5" t="s">
        <v>55</v>
      </c>
      <c r="B35" s="2"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742E"/>
    <pageSetUpPr fitToPage="false"/>
  </sheetPr>
  <dimension ref="A1:F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12"/>
    <col collapsed="false" customWidth="true" hidden="false" outlineLevel="0" max="4" min="4" style="0" width="18"/>
    <col collapsed="false" customWidth="true" hidden="false" outlineLevel="0" max="5" min="5" style="0" width="16"/>
    <col collapsed="false" customWidth="true" hidden="false" outlineLevel="0" max="6" min="6" style="0" width="90"/>
  </cols>
  <sheetData>
    <row r="1" customFormat="false" ht="17.35" hidden="false" customHeight="false" outlineLevel="0" collapsed="false">
      <c r="B1" s="1" t="s">
        <v>57</v>
      </c>
    </row>
    <row r="2" customFormat="false" ht="15" hidden="false" customHeight="false" outlineLevel="0" collapsed="false">
      <c r="B2" s="2" t="s">
        <v>58</v>
      </c>
    </row>
    <row r="4" customFormat="false" ht="30" hidden="false" customHeight="true" outlineLevel="0" collapsed="false">
      <c r="A4" s="8"/>
      <c r="B4" s="8" t="s">
        <v>59</v>
      </c>
      <c r="C4" s="8" t="s">
        <v>60</v>
      </c>
      <c r="D4" s="8" t="s">
        <v>61</v>
      </c>
      <c r="E4" s="8" t="s">
        <v>62</v>
      </c>
      <c r="F4" s="8" t="s">
        <v>63</v>
      </c>
    </row>
    <row r="5" customFormat="false" ht="15" hidden="false" customHeight="false" outlineLevel="0" collapsed="false">
      <c r="B5" s="14" t="s">
        <v>64</v>
      </c>
      <c r="C5" s="15"/>
      <c r="D5" s="15"/>
      <c r="E5" s="15"/>
      <c r="F5" s="15"/>
    </row>
    <row r="6" customFormat="false" ht="15" hidden="false" customHeight="false" outlineLevel="0" collapsed="false">
      <c r="B6" s="5" t="s">
        <v>65</v>
      </c>
      <c r="C6" s="16" t="n">
        <v>1.15</v>
      </c>
      <c r="D6" s="5" t="s">
        <v>66</v>
      </c>
      <c r="E6" s="5" t="s">
        <v>67</v>
      </c>
      <c r="F6" s="10" t="s">
        <v>68</v>
      </c>
    </row>
    <row r="7" customFormat="false" ht="15" hidden="false" customHeight="false" outlineLevel="0" collapsed="false">
      <c r="B7" s="5" t="s">
        <v>69</v>
      </c>
      <c r="C7" s="16" t="n">
        <v>0.75</v>
      </c>
      <c r="D7" s="5" t="s">
        <v>70</v>
      </c>
      <c r="E7" s="5" t="s">
        <v>67</v>
      </c>
      <c r="F7" s="10" t="s">
        <v>71</v>
      </c>
    </row>
    <row r="8" customFormat="false" ht="15" hidden="false" customHeight="false" outlineLevel="0" collapsed="false">
      <c r="B8" s="14" t="s">
        <v>72</v>
      </c>
      <c r="C8" s="15"/>
      <c r="D8" s="15"/>
      <c r="E8" s="15"/>
      <c r="F8" s="15"/>
    </row>
    <row r="9" customFormat="false" ht="15" hidden="false" customHeight="false" outlineLevel="0" collapsed="false">
      <c r="B9" s="5" t="s">
        <v>73</v>
      </c>
      <c r="C9" s="17" t="n">
        <v>14</v>
      </c>
      <c r="D9" s="5" t="s">
        <v>74</v>
      </c>
      <c r="E9" s="5" t="s">
        <v>75</v>
      </c>
      <c r="F9" s="10" t="s">
        <v>76</v>
      </c>
    </row>
    <row r="10" customFormat="false" ht="15" hidden="false" customHeight="false" outlineLevel="0" collapsed="false">
      <c r="B10" s="5" t="s">
        <v>77</v>
      </c>
      <c r="C10" s="17" t="n">
        <v>1347</v>
      </c>
      <c r="D10" s="5" t="s">
        <v>78</v>
      </c>
      <c r="E10" s="5" t="s">
        <v>75</v>
      </c>
      <c r="F10" s="10" t="s">
        <v>79</v>
      </c>
    </row>
    <row r="11" customFormat="false" ht="15" hidden="false" customHeight="false" outlineLevel="0" collapsed="false">
      <c r="B11" s="5" t="s">
        <v>80</v>
      </c>
      <c r="C11" s="17" t="n">
        <v>2252</v>
      </c>
      <c r="D11" s="5" t="s">
        <v>78</v>
      </c>
      <c r="E11" s="5" t="s">
        <v>75</v>
      </c>
      <c r="F11" s="10" t="s">
        <v>81</v>
      </c>
    </row>
    <row r="12" customFormat="false" ht="15" hidden="false" customHeight="false" outlineLevel="0" collapsed="false">
      <c r="B12" s="5" t="s">
        <v>82</v>
      </c>
      <c r="C12" s="17" t="n">
        <v>130</v>
      </c>
      <c r="D12" s="5" t="s">
        <v>78</v>
      </c>
      <c r="E12" s="5" t="s">
        <v>75</v>
      </c>
      <c r="F12" s="10" t="s">
        <v>83</v>
      </c>
    </row>
    <row r="13" customFormat="false" ht="15" hidden="false" customHeight="false" outlineLevel="0" collapsed="false">
      <c r="B13" s="5" t="s">
        <v>84</v>
      </c>
      <c r="C13" s="17" t="n">
        <v>278</v>
      </c>
      <c r="D13" s="5" t="s">
        <v>78</v>
      </c>
      <c r="E13" s="5" t="s">
        <v>75</v>
      </c>
      <c r="F13" s="10" t="s">
        <v>85</v>
      </c>
    </row>
    <row r="14" customFormat="false" ht="15" hidden="false" customHeight="false" outlineLevel="0" collapsed="false">
      <c r="B14" s="5" t="s">
        <v>86</v>
      </c>
      <c r="C14" s="18" t="n">
        <v>0.93</v>
      </c>
      <c r="D14" s="5" t="s">
        <v>87</v>
      </c>
      <c r="E14" s="5" t="s">
        <v>75</v>
      </c>
      <c r="F14" s="10" t="s">
        <v>88</v>
      </c>
    </row>
    <row r="15" customFormat="false" ht="15" hidden="false" customHeight="false" outlineLevel="0" collapsed="false">
      <c r="B15" s="5" t="s">
        <v>89</v>
      </c>
      <c r="C15" s="17" t="n">
        <v>6</v>
      </c>
      <c r="D15" s="5" t="s">
        <v>90</v>
      </c>
      <c r="E15" s="5" t="s">
        <v>75</v>
      </c>
      <c r="F15" s="10" t="s">
        <v>91</v>
      </c>
    </row>
    <row r="16" customFormat="false" ht="15" hidden="false" customHeight="false" outlineLevel="0" collapsed="false">
      <c r="B16" s="5" t="s">
        <v>92</v>
      </c>
      <c r="C16" s="17" t="n">
        <v>0</v>
      </c>
      <c r="D16" s="5" t="s">
        <v>93</v>
      </c>
      <c r="E16" s="5" t="s">
        <v>75</v>
      </c>
      <c r="F16" s="10" t="s">
        <v>94</v>
      </c>
    </row>
    <row r="17" customFormat="false" ht="15" hidden="false" customHeight="false" outlineLevel="0" collapsed="false">
      <c r="B17" s="5" t="s">
        <v>95</v>
      </c>
      <c r="C17" s="17" t="n">
        <v>0</v>
      </c>
      <c r="D17" s="5" t="s">
        <v>96</v>
      </c>
      <c r="E17" s="5" t="s">
        <v>75</v>
      </c>
      <c r="F17" s="10" t="s">
        <v>97</v>
      </c>
    </row>
    <row r="18" customFormat="false" ht="15" hidden="false" customHeight="false" outlineLevel="0" collapsed="false">
      <c r="B18" s="5" t="s">
        <v>98</v>
      </c>
      <c r="C18" s="17" t="n">
        <v>0</v>
      </c>
      <c r="D18" s="5" t="s">
        <v>93</v>
      </c>
      <c r="E18" s="5" t="s">
        <v>75</v>
      </c>
      <c r="F18" s="10" t="s">
        <v>99</v>
      </c>
    </row>
    <row r="19" customFormat="false" ht="15" hidden="false" customHeight="false" outlineLevel="0" collapsed="false">
      <c r="B19" s="5" t="s">
        <v>100</v>
      </c>
      <c r="C19" s="19" t="n">
        <v>0</v>
      </c>
      <c r="D19" s="5" t="s">
        <v>101</v>
      </c>
      <c r="E19" s="5" t="s">
        <v>102</v>
      </c>
      <c r="F19" s="10" t="s">
        <v>103</v>
      </c>
    </row>
    <row r="20" customFormat="false" ht="15" hidden="false" customHeight="false" outlineLevel="0" collapsed="false">
      <c r="B20" s="5" t="s">
        <v>104</v>
      </c>
      <c r="C20" s="19" t="n">
        <v>0</v>
      </c>
      <c r="D20" s="5" t="s">
        <v>105</v>
      </c>
      <c r="E20" s="5" t="s">
        <v>102</v>
      </c>
      <c r="F20" s="10" t="s">
        <v>106</v>
      </c>
    </row>
    <row r="21" customFormat="false" ht="15" hidden="false" customHeight="false" outlineLevel="0" collapsed="false">
      <c r="B21" s="14" t="s">
        <v>107</v>
      </c>
      <c r="C21" s="15"/>
      <c r="D21" s="15"/>
      <c r="E21" s="15"/>
      <c r="F21" s="15"/>
    </row>
    <row r="22" customFormat="false" ht="15" hidden="false" customHeight="false" outlineLevel="0" collapsed="false">
      <c r="B22" s="5" t="s">
        <v>108</v>
      </c>
      <c r="C22" s="18" t="n">
        <v>0.2</v>
      </c>
      <c r="D22" s="5" t="s">
        <v>87</v>
      </c>
      <c r="E22" s="5" t="s">
        <v>109</v>
      </c>
      <c r="F22" s="10" t="s">
        <v>110</v>
      </c>
    </row>
    <row r="23" customFormat="false" ht="15" hidden="false" customHeight="false" outlineLevel="0" collapsed="false">
      <c r="B23" s="5" t="s">
        <v>111</v>
      </c>
      <c r="C23" s="18" t="n">
        <v>0.035</v>
      </c>
      <c r="D23" s="5" t="s">
        <v>112</v>
      </c>
      <c r="E23" s="5" t="s">
        <v>109</v>
      </c>
      <c r="F23" s="10" t="s">
        <v>113</v>
      </c>
    </row>
    <row r="24" customFormat="false" ht="15" hidden="false" customHeight="false" outlineLevel="0" collapsed="false">
      <c r="B24" s="5" t="s">
        <v>114</v>
      </c>
      <c r="C24" s="18" t="n">
        <v>0.015</v>
      </c>
      <c r="D24" s="5" t="s">
        <v>112</v>
      </c>
      <c r="E24" s="5" t="s">
        <v>109</v>
      </c>
      <c r="F24" s="10" t="s">
        <v>115</v>
      </c>
    </row>
    <row r="25" customFormat="false" ht="15" hidden="false" customHeight="false" outlineLevel="0" collapsed="false">
      <c r="B25" s="5" t="s">
        <v>116</v>
      </c>
      <c r="C25" s="18" t="n">
        <v>0.045</v>
      </c>
      <c r="D25" s="5" t="s">
        <v>112</v>
      </c>
      <c r="E25" s="5" t="s">
        <v>109</v>
      </c>
      <c r="F25" s="10" t="s">
        <v>117</v>
      </c>
    </row>
    <row r="26" customFormat="false" ht="15" hidden="false" customHeight="false" outlineLevel="0" collapsed="false">
      <c r="B26" s="5" t="s">
        <v>118</v>
      </c>
      <c r="C26" s="18" t="n">
        <v>0.0515</v>
      </c>
      <c r="D26" s="5" t="s">
        <v>112</v>
      </c>
      <c r="E26" s="5" t="s">
        <v>109</v>
      </c>
      <c r="F26" s="10" t="s">
        <v>119</v>
      </c>
    </row>
    <row r="27" customFormat="false" ht="15" hidden="false" customHeight="false" outlineLevel="0" collapsed="false">
      <c r="B27" s="5" t="s">
        <v>120</v>
      </c>
      <c r="C27" s="20" t="n">
        <v>0.2</v>
      </c>
      <c r="D27" s="5" t="s">
        <v>121</v>
      </c>
      <c r="E27" s="5" t="s">
        <v>109</v>
      </c>
      <c r="F27" s="10" t="s">
        <v>122</v>
      </c>
    </row>
    <row r="28" customFormat="false" ht="15" hidden="false" customHeight="false" outlineLevel="0" collapsed="false">
      <c r="B28" s="5" t="s">
        <v>123</v>
      </c>
      <c r="C28" s="20" t="n">
        <v>15</v>
      </c>
      <c r="D28" s="5" t="s">
        <v>124</v>
      </c>
      <c r="E28" s="5" t="s">
        <v>109</v>
      </c>
      <c r="F28" s="10" t="s">
        <v>125</v>
      </c>
    </row>
    <row r="29" customFormat="false" ht="15" hidden="false" customHeight="false" outlineLevel="0" collapsed="false">
      <c r="B29" s="5" t="s">
        <v>126</v>
      </c>
      <c r="C29" s="18" t="n">
        <v>0.03</v>
      </c>
      <c r="D29" s="5" t="s">
        <v>127</v>
      </c>
      <c r="E29" s="5" t="s">
        <v>67</v>
      </c>
      <c r="F29" s="10" t="s">
        <v>128</v>
      </c>
    </row>
    <row r="30" customFormat="false" ht="15" hidden="false" customHeight="false" outlineLevel="0" collapsed="false">
      <c r="B30" s="5" t="s">
        <v>129</v>
      </c>
      <c r="C30" s="18" t="n">
        <v>0.6</v>
      </c>
      <c r="D30" s="5" t="s">
        <v>87</v>
      </c>
      <c r="E30" s="5" t="s">
        <v>67</v>
      </c>
      <c r="F30" s="10" t="s">
        <v>130</v>
      </c>
    </row>
    <row r="31" customFormat="false" ht="15" hidden="false" customHeight="false" outlineLevel="0" collapsed="false">
      <c r="B31" s="5" t="s">
        <v>131</v>
      </c>
      <c r="C31" s="18" t="n">
        <v>0.2</v>
      </c>
      <c r="D31" s="5" t="s">
        <v>87</v>
      </c>
      <c r="E31" s="5" t="s">
        <v>67</v>
      </c>
      <c r="F31" s="10" t="s">
        <v>132</v>
      </c>
    </row>
    <row r="32" customFormat="false" ht="15" hidden="false" customHeight="false" outlineLevel="0" collapsed="false">
      <c r="B32" s="5" t="s">
        <v>133</v>
      </c>
      <c r="C32" s="18" t="n">
        <v>0.2</v>
      </c>
      <c r="D32" s="5" t="s">
        <v>87</v>
      </c>
      <c r="E32" s="5" t="s">
        <v>67</v>
      </c>
      <c r="F32" s="10" t="s">
        <v>134</v>
      </c>
    </row>
    <row r="33" customFormat="false" ht="15" hidden="false" customHeight="false" outlineLevel="0" collapsed="false">
      <c r="B33" s="5" t="s">
        <v>135</v>
      </c>
      <c r="C33" s="17" t="n">
        <v>25</v>
      </c>
      <c r="D33" s="5" t="s">
        <v>96</v>
      </c>
      <c r="E33" s="5" t="s">
        <v>109</v>
      </c>
      <c r="F33" s="10" t="s">
        <v>136</v>
      </c>
    </row>
    <row r="34" customFormat="false" ht="15" hidden="false" customHeight="false" outlineLevel="0" collapsed="false">
      <c r="B34" s="14" t="s">
        <v>137</v>
      </c>
      <c r="C34" s="15"/>
      <c r="D34" s="15"/>
      <c r="E34" s="15"/>
      <c r="F34" s="15"/>
    </row>
    <row r="35" customFormat="false" ht="15" hidden="false" customHeight="false" outlineLevel="0" collapsed="false">
      <c r="B35" s="5" t="s">
        <v>138</v>
      </c>
      <c r="C35" s="21" t="n">
        <v>35</v>
      </c>
      <c r="D35" s="5" t="s">
        <v>139</v>
      </c>
      <c r="E35" s="5" t="s">
        <v>140</v>
      </c>
      <c r="F35" s="10" t="s">
        <v>141</v>
      </c>
    </row>
    <row r="36" customFormat="false" ht="15" hidden="false" customHeight="false" outlineLevel="0" collapsed="false">
      <c r="B36" s="5" t="s">
        <v>142</v>
      </c>
      <c r="C36" s="22" t="n">
        <v>0.4</v>
      </c>
      <c r="D36" s="5" t="s">
        <v>143</v>
      </c>
      <c r="E36" s="5" t="s">
        <v>144</v>
      </c>
      <c r="F36" s="10" t="s">
        <v>145</v>
      </c>
    </row>
    <row r="37" customFormat="false" ht="15" hidden="false" customHeight="false" outlineLevel="0" collapsed="false">
      <c r="B37" s="5" t="s">
        <v>146</v>
      </c>
      <c r="C37" s="22" t="n">
        <v>1.8</v>
      </c>
      <c r="D37" s="5" t="s">
        <v>143</v>
      </c>
      <c r="E37" s="5" t="s">
        <v>144</v>
      </c>
      <c r="F37" s="10" t="s">
        <v>147</v>
      </c>
    </row>
    <row r="38" customFormat="false" ht="15" hidden="false" customHeight="false" outlineLevel="0" collapsed="false">
      <c r="B38" s="5" t="s">
        <v>148</v>
      </c>
      <c r="C38" s="22" t="n">
        <v>4</v>
      </c>
      <c r="D38" s="5" t="s">
        <v>149</v>
      </c>
      <c r="E38" s="5" t="s">
        <v>144</v>
      </c>
      <c r="F38" s="10" t="s">
        <v>150</v>
      </c>
    </row>
    <row r="39" customFormat="false" ht="15" hidden="false" customHeight="false" outlineLevel="0" collapsed="false">
      <c r="B39" s="5" t="s">
        <v>151</v>
      </c>
      <c r="C39" s="22" t="n">
        <v>8</v>
      </c>
      <c r="D39" s="5" t="s">
        <v>149</v>
      </c>
      <c r="E39" s="5" t="s">
        <v>144</v>
      </c>
      <c r="F39" s="10" t="s">
        <v>152</v>
      </c>
    </row>
    <row r="40" customFormat="false" ht="15" hidden="false" customHeight="false" outlineLevel="0" collapsed="false">
      <c r="B40" s="5" t="s">
        <v>153</v>
      </c>
      <c r="C40" s="20" t="n">
        <v>0.3</v>
      </c>
      <c r="D40" s="5" t="s">
        <v>121</v>
      </c>
      <c r="E40" s="5" t="s">
        <v>67</v>
      </c>
      <c r="F40" s="10" t="s">
        <v>154</v>
      </c>
    </row>
    <row r="41" customFormat="false" ht="15" hidden="false" customHeight="false" outlineLevel="0" collapsed="false">
      <c r="B41" s="5" t="s">
        <v>155</v>
      </c>
      <c r="C41" s="20" t="n">
        <v>1.5</v>
      </c>
      <c r="D41" s="5" t="s">
        <v>121</v>
      </c>
      <c r="E41" s="5" t="s">
        <v>67</v>
      </c>
      <c r="F41" s="10" t="s">
        <v>132</v>
      </c>
    </row>
    <row r="42" customFormat="false" ht="15" hidden="false" customHeight="false" outlineLevel="0" collapsed="false">
      <c r="B42" s="14" t="s">
        <v>156</v>
      </c>
      <c r="C42" s="15"/>
      <c r="D42" s="15"/>
      <c r="E42" s="15"/>
      <c r="F42" s="15"/>
    </row>
    <row r="43" customFormat="false" ht="15" hidden="false" customHeight="false" outlineLevel="0" collapsed="false">
      <c r="B43" s="5" t="s">
        <v>157</v>
      </c>
      <c r="C43" s="22" t="n">
        <v>0.2</v>
      </c>
      <c r="D43" s="5" t="s">
        <v>143</v>
      </c>
      <c r="E43" s="5" t="s">
        <v>144</v>
      </c>
      <c r="F43" s="10" t="s">
        <v>158</v>
      </c>
    </row>
    <row r="44" customFormat="false" ht="15" hidden="false" customHeight="false" outlineLevel="0" collapsed="false">
      <c r="B44" s="5" t="s">
        <v>159</v>
      </c>
      <c r="C44" s="18" t="n">
        <v>0.065</v>
      </c>
      <c r="D44" s="5" t="s">
        <v>160</v>
      </c>
      <c r="E44" s="5" t="s">
        <v>144</v>
      </c>
      <c r="F44" s="10" t="s">
        <v>161</v>
      </c>
    </row>
    <row r="45" customFormat="false" ht="15" hidden="false" customHeight="false" outlineLevel="0" collapsed="false">
      <c r="B45" s="5" t="s">
        <v>162</v>
      </c>
      <c r="C45" s="18" t="n">
        <v>0.04</v>
      </c>
      <c r="D45" s="5" t="s">
        <v>163</v>
      </c>
      <c r="E45" s="5" t="s">
        <v>144</v>
      </c>
      <c r="F45" s="10" t="s">
        <v>164</v>
      </c>
    </row>
    <row r="46" customFormat="false" ht="15" hidden="false" customHeight="false" outlineLevel="0" collapsed="false">
      <c r="B46" s="5" t="s">
        <v>165</v>
      </c>
      <c r="C46" s="20" t="n">
        <v>0.2</v>
      </c>
      <c r="D46" s="5" t="s">
        <v>121</v>
      </c>
      <c r="E46" s="5" t="s">
        <v>144</v>
      </c>
      <c r="F46" s="10" t="s">
        <v>132</v>
      </c>
    </row>
    <row r="47" customFormat="false" ht="15" hidden="false" customHeight="false" outlineLevel="0" collapsed="false">
      <c r="B47" s="5" t="s">
        <v>166</v>
      </c>
      <c r="C47" s="18" t="n">
        <v>0.2</v>
      </c>
      <c r="D47" s="5" t="s">
        <v>87</v>
      </c>
      <c r="E47" s="5" t="s">
        <v>144</v>
      </c>
      <c r="F47" s="10" t="s">
        <v>167</v>
      </c>
    </row>
    <row r="48" customFormat="false" ht="15" hidden="false" customHeight="false" outlineLevel="0" collapsed="false">
      <c r="B48" s="5" t="s">
        <v>168</v>
      </c>
      <c r="C48" s="18" t="n">
        <v>0.05</v>
      </c>
      <c r="D48" s="5" t="s">
        <v>169</v>
      </c>
      <c r="E48" s="5" t="s">
        <v>67</v>
      </c>
      <c r="F48" s="10" t="s">
        <v>170</v>
      </c>
    </row>
    <row r="49" customFormat="false" ht="15" hidden="false" customHeight="false" outlineLevel="0" collapsed="false">
      <c r="B49" s="5" t="s">
        <v>171</v>
      </c>
      <c r="C49" s="20" t="n">
        <v>45</v>
      </c>
      <c r="D49" s="5" t="s">
        <v>121</v>
      </c>
      <c r="E49" s="5" t="s">
        <v>67</v>
      </c>
      <c r="F49" s="10" t="s">
        <v>172</v>
      </c>
    </row>
    <row r="50" customFormat="false" ht="15" hidden="false" customHeight="false" outlineLevel="0" collapsed="false">
      <c r="B50" s="14" t="s">
        <v>173</v>
      </c>
      <c r="C50" s="15"/>
      <c r="D50" s="15"/>
      <c r="E50" s="15"/>
      <c r="F50" s="15"/>
    </row>
    <row r="51" customFormat="false" ht="15" hidden="false" customHeight="false" outlineLevel="0" collapsed="false">
      <c r="B51" s="5" t="s">
        <v>174</v>
      </c>
      <c r="C51" s="18" t="n">
        <v>0.1</v>
      </c>
      <c r="D51" s="5" t="s">
        <v>163</v>
      </c>
      <c r="E51" s="5" t="s">
        <v>144</v>
      </c>
      <c r="F51" s="10" t="s">
        <v>175</v>
      </c>
    </row>
    <row r="52" customFormat="false" ht="15" hidden="false" customHeight="false" outlineLevel="0" collapsed="false">
      <c r="B52" s="5" t="s">
        <v>176</v>
      </c>
      <c r="C52" s="20" t="n">
        <v>12</v>
      </c>
      <c r="D52" s="5" t="s">
        <v>121</v>
      </c>
      <c r="E52" s="5" t="s">
        <v>67</v>
      </c>
      <c r="F52" s="10" t="s">
        <v>177</v>
      </c>
    </row>
    <row r="53" customFormat="false" ht="15" hidden="false" customHeight="false" outlineLevel="0" collapsed="false">
      <c r="B53" s="5" t="s">
        <v>178</v>
      </c>
      <c r="C53" s="18" t="n">
        <v>0.05</v>
      </c>
      <c r="D53" s="5" t="s">
        <v>87</v>
      </c>
      <c r="E53" s="5" t="s">
        <v>67</v>
      </c>
      <c r="F53" s="10" t="s">
        <v>179</v>
      </c>
    </row>
    <row r="54" customFormat="false" ht="15" hidden="false" customHeight="false" outlineLevel="0" collapsed="false">
      <c r="B54" s="5" t="s">
        <v>180</v>
      </c>
      <c r="C54" s="20" t="n">
        <v>5</v>
      </c>
      <c r="D54" s="5" t="s">
        <v>181</v>
      </c>
      <c r="E54" s="5" t="s">
        <v>67</v>
      </c>
      <c r="F54" s="10" t="s">
        <v>182</v>
      </c>
    </row>
    <row r="55" customFormat="false" ht="15" hidden="false" customHeight="false" outlineLevel="0" collapsed="false">
      <c r="B55" s="5" t="s">
        <v>183</v>
      </c>
      <c r="C55" s="18" t="n">
        <v>0.1</v>
      </c>
      <c r="D55" s="5" t="s">
        <v>184</v>
      </c>
      <c r="E55" s="5" t="s">
        <v>144</v>
      </c>
      <c r="F55" s="10" t="s">
        <v>185</v>
      </c>
    </row>
    <row r="56" customFormat="false" ht="15" hidden="false" customHeight="false" outlineLevel="0" collapsed="false">
      <c r="B56" s="5" t="s">
        <v>186</v>
      </c>
      <c r="C56" s="18" t="n">
        <v>0.029</v>
      </c>
      <c r="D56" s="5" t="s">
        <v>184</v>
      </c>
      <c r="E56" s="5" t="s">
        <v>144</v>
      </c>
      <c r="F56" s="10" t="s">
        <v>187</v>
      </c>
    </row>
    <row r="57" customFormat="false" ht="15" hidden="false" customHeight="false" outlineLevel="0" collapsed="false">
      <c r="B57" s="5" t="s">
        <v>188</v>
      </c>
      <c r="C57" s="20" t="n">
        <v>0.25</v>
      </c>
      <c r="D57" s="5" t="s">
        <v>121</v>
      </c>
      <c r="E57" s="5" t="s">
        <v>144</v>
      </c>
      <c r="F57" s="10" t="s">
        <v>189</v>
      </c>
    </row>
    <row r="58" customFormat="false" ht="15" hidden="false" customHeight="false" outlineLevel="0" collapsed="false">
      <c r="B58" s="5" t="s">
        <v>190</v>
      </c>
      <c r="C58" s="18" t="n">
        <v>0.03</v>
      </c>
      <c r="D58" s="5" t="s">
        <v>87</v>
      </c>
      <c r="E58" s="5" t="s">
        <v>144</v>
      </c>
      <c r="F58" s="10" t="s">
        <v>191</v>
      </c>
    </row>
    <row r="59" customFormat="false" ht="15" hidden="false" customHeight="false" outlineLevel="0" collapsed="false">
      <c r="B59" s="5" t="s">
        <v>192</v>
      </c>
      <c r="C59" s="22" t="n">
        <v>5</v>
      </c>
      <c r="D59" s="5" t="s">
        <v>193</v>
      </c>
      <c r="E59" s="5" t="s">
        <v>144</v>
      </c>
      <c r="F59" s="10" t="s">
        <v>194</v>
      </c>
    </row>
    <row r="60" customFormat="false" ht="15" hidden="false" customHeight="false" outlineLevel="0" collapsed="false">
      <c r="B60" s="5" t="s">
        <v>195</v>
      </c>
      <c r="C60" s="22" t="n">
        <v>15</v>
      </c>
      <c r="D60" s="5" t="s">
        <v>193</v>
      </c>
      <c r="E60" s="5" t="s">
        <v>144</v>
      </c>
      <c r="F60" s="10" t="s">
        <v>152</v>
      </c>
    </row>
    <row r="61" customFormat="false" ht="15" hidden="false" customHeight="false" outlineLevel="0" collapsed="false">
      <c r="B61" s="5" t="s">
        <v>196</v>
      </c>
      <c r="C61" s="22" t="n">
        <v>50</v>
      </c>
      <c r="D61" s="5" t="s">
        <v>143</v>
      </c>
      <c r="E61" s="5" t="s">
        <v>144</v>
      </c>
      <c r="F61" s="10" t="s">
        <v>197</v>
      </c>
    </row>
    <row r="62" customFormat="false" ht="15" hidden="false" customHeight="false" outlineLevel="0" collapsed="false">
      <c r="B62" s="5" t="s">
        <v>198</v>
      </c>
      <c r="C62" s="22" t="n">
        <v>300</v>
      </c>
      <c r="D62" s="5" t="s">
        <v>143</v>
      </c>
      <c r="E62" s="5" t="s">
        <v>144</v>
      </c>
      <c r="F62" s="10" t="s">
        <v>152</v>
      </c>
    </row>
    <row r="63" customFormat="false" ht="15" hidden="false" customHeight="false" outlineLevel="0" collapsed="false">
      <c r="B63" s="5" t="s">
        <v>199</v>
      </c>
      <c r="C63" s="20" t="n">
        <v>45</v>
      </c>
      <c r="D63" s="5" t="s">
        <v>121</v>
      </c>
      <c r="E63" s="5" t="s">
        <v>67</v>
      </c>
      <c r="F63" s="10" t="s">
        <v>200</v>
      </c>
    </row>
    <row r="64" customFormat="false" ht="15" hidden="false" customHeight="false" outlineLevel="0" collapsed="false">
      <c r="B64" s="5" t="s">
        <v>201</v>
      </c>
      <c r="C64" s="20" t="n">
        <v>60</v>
      </c>
      <c r="D64" s="5" t="s">
        <v>121</v>
      </c>
      <c r="E64" s="5" t="s">
        <v>67</v>
      </c>
      <c r="F64" s="10" t="s">
        <v>202</v>
      </c>
    </row>
    <row r="65" customFormat="false" ht="15" hidden="false" customHeight="false" outlineLevel="0" collapsed="false">
      <c r="B65" s="5" t="s">
        <v>203</v>
      </c>
      <c r="C65" s="20" t="n">
        <v>15</v>
      </c>
      <c r="D65" s="5" t="s">
        <v>121</v>
      </c>
      <c r="E65" s="5" t="s">
        <v>67</v>
      </c>
      <c r="F65" s="10" t="s">
        <v>204</v>
      </c>
    </row>
    <row r="66" customFormat="false" ht="15" hidden="false" customHeight="false" outlineLevel="0" collapsed="false">
      <c r="B66" s="5" t="s">
        <v>205</v>
      </c>
      <c r="C66" s="20" t="n">
        <v>49</v>
      </c>
      <c r="D66" s="5" t="s">
        <v>121</v>
      </c>
      <c r="E66" s="5" t="s">
        <v>67</v>
      </c>
      <c r="F66" s="10" t="s">
        <v>204</v>
      </c>
    </row>
    <row r="67" customFormat="false" ht="15" hidden="false" customHeight="false" outlineLevel="0" collapsed="false">
      <c r="B67" s="5" t="s">
        <v>206</v>
      </c>
      <c r="C67" s="20" t="n">
        <v>6</v>
      </c>
      <c r="D67" s="5" t="s">
        <v>181</v>
      </c>
      <c r="E67" s="5" t="s">
        <v>67</v>
      </c>
      <c r="F67" s="10" t="s">
        <v>204</v>
      </c>
    </row>
    <row r="68" customFormat="false" ht="15" hidden="false" customHeight="false" outlineLevel="0" collapsed="false">
      <c r="B68" s="5" t="s">
        <v>207</v>
      </c>
      <c r="C68" s="20" t="n">
        <v>250</v>
      </c>
      <c r="D68" s="5" t="s">
        <v>181</v>
      </c>
      <c r="E68" s="5" t="s">
        <v>67</v>
      </c>
      <c r="F68" s="10" t="s">
        <v>208</v>
      </c>
    </row>
    <row r="69" customFormat="false" ht="15" hidden="false" customHeight="false" outlineLevel="0" collapsed="false">
      <c r="B69" s="5" t="s">
        <v>209</v>
      </c>
      <c r="C69" s="20" t="n">
        <v>30</v>
      </c>
      <c r="D69" s="5" t="s">
        <v>181</v>
      </c>
      <c r="E69" s="5" t="s">
        <v>67</v>
      </c>
      <c r="F69" s="10" t="s">
        <v>210</v>
      </c>
    </row>
    <row r="70" customFormat="false" ht="15" hidden="false" customHeight="false" outlineLevel="0" collapsed="false">
      <c r="B70" s="5" t="s">
        <v>211</v>
      </c>
      <c r="C70" s="20" t="n">
        <v>12.99</v>
      </c>
      <c r="D70" s="5" t="s">
        <v>121</v>
      </c>
      <c r="E70" s="5" t="s">
        <v>67</v>
      </c>
      <c r="F70" s="10" t="s">
        <v>204</v>
      </c>
    </row>
    <row r="71" customFormat="false" ht="15" hidden="false" customHeight="false" outlineLevel="0" collapsed="false">
      <c r="B71" s="5" t="s">
        <v>212</v>
      </c>
      <c r="C71" s="18" t="n">
        <v>0.6</v>
      </c>
      <c r="D71" s="5" t="s">
        <v>213</v>
      </c>
      <c r="E71" s="5" t="s">
        <v>144</v>
      </c>
      <c r="F71" s="10" t="s">
        <v>214</v>
      </c>
    </row>
    <row r="72" customFormat="false" ht="15" hidden="false" customHeight="false" outlineLevel="0" collapsed="false">
      <c r="B72" s="5" t="s">
        <v>215</v>
      </c>
      <c r="C72" s="20" t="n">
        <v>2.29</v>
      </c>
      <c r="D72" s="5" t="s">
        <v>121</v>
      </c>
      <c r="E72" s="5" t="s">
        <v>67</v>
      </c>
      <c r="F72" s="10" t="s">
        <v>216</v>
      </c>
    </row>
    <row r="73" customFormat="false" ht="15" hidden="false" customHeight="false" outlineLevel="0" collapsed="false">
      <c r="B73" s="14" t="s">
        <v>217</v>
      </c>
      <c r="C73" s="15"/>
      <c r="D73" s="15"/>
      <c r="E73" s="15"/>
      <c r="F73" s="15"/>
    </row>
    <row r="74" customFormat="false" ht="15" hidden="false" customHeight="false" outlineLevel="0" collapsed="false">
      <c r="B74" s="5" t="s">
        <v>218</v>
      </c>
      <c r="C74" s="23" t="n">
        <v>0</v>
      </c>
      <c r="D74" s="5" t="s">
        <v>121</v>
      </c>
      <c r="E74" s="5" t="s">
        <v>102</v>
      </c>
      <c r="F74" s="10" t="s">
        <v>219</v>
      </c>
    </row>
    <row r="75" customFormat="false" ht="15" hidden="false" customHeight="false" outlineLevel="0" collapsed="false">
      <c r="B75" s="5" t="s">
        <v>220</v>
      </c>
      <c r="C75" s="18" t="n">
        <v>0.25</v>
      </c>
      <c r="D75" s="5" t="s">
        <v>87</v>
      </c>
      <c r="E75" s="5" t="s">
        <v>67</v>
      </c>
      <c r="F75" s="10" t="s">
        <v>221</v>
      </c>
    </row>
    <row r="76" customFormat="false" ht="15" hidden="false" customHeight="false" outlineLevel="0" collapsed="false">
      <c r="B76" s="5" t="s">
        <v>222</v>
      </c>
      <c r="C76" s="19" t="n">
        <v>1</v>
      </c>
      <c r="D76" s="5" t="s">
        <v>223</v>
      </c>
      <c r="E76" s="5" t="s">
        <v>102</v>
      </c>
      <c r="F76" s="10"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5" min="3" style="0" width="14"/>
    <col collapsed="false" customWidth="true" hidden="false" outlineLevel="0" max="6" min="6" style="0" width="10"/>
    <col collapsed="false" customWidth="true" hidden="false" outlineLevel="0" max="7" min="7" style="0" width="22"/>
    <col collapsed="false" customWidth="true" hidden="false" outlineLevel="0" max="8" min="8" style="0" width="70"/>
  </cols>
  <sheetData>
    <row r="1" customFormat="false" ht="17.35" hidden="false" customHeight="false" outlineLevel="0" collapsed="false">
      <c r="A1" s="1" t="s">
        <v>225</v>
      </c>
    </row>
    <row r="2" customFormat="false" ht="15" hidden="false" customHeight="false" outlineLevel="0" collapsed="false">
      <c r="A2" s="2" t="s">
        <v>226</v>
      </c>
    </row>
    <row r="4" customFormat="false" ht="30" hidden="false" customHeight="true" outlineLevel="0" collapsed="false">
      <c r="A4" s="8" t="s">
        <v>227</v>
      </c>
      <c r="B4" s="8" t="s">
        <v>64</v>
      </c>
      <c r="C4" s="8" t="s">
        <v>228</v>
      </c>
      <c r="D4" s="8" t="s">
        <v>229</v>
      </c>
      <c r="E4" s="8" t="s">
        <v>230</v>
      </c>
      <c r="F4" s="8" t="s">
        <v>231</v>
      </c>
      <c r="G4" s="8" t="s">
        <v>232</v>
      </c>
      <c r="H4" s="8" t="s">
        <v>11</v>
      </c>
    </row>
    <row r="5" customFormat="false" ht="15" hidden="false" customHeight="false" outlineLevel="0" collapsed="false">
      <c r="A5" s="5" t="s">
        <v>233</v>
      </c>
      <c r="B5" s="4" t="s">
        <v>234</v>
      </c>
      <c r="C5" s="21" t="n">
        <v>20</v>
      </c>
      <c r="D5" s="24" t="n">
        <f aca="false">IF(B5="GBP",C5,C5/Inputs!$C$6)</f>
        <v>17.3913043478261</v>
      </c>
      <c r="E5" s="25" t="n">
        <f aca="false">D5*Inputs!$C$6</f>
        <v>20</v>
      </c>
      <c r="F5" s="4" t="n">
        <v>1</v>
      </c>
      <c r="G5" s="5" t="s">
        <v>235</v>
      </c>
      <c r="H5" s="10" t="s">
        <v>236</v>
      </c>
    </row>
    <row r="6" customFormat="false" ht="15" hidden="false" customHeight="false" outlineLevel="0" collapsed="false">
      <c r="A6" s="5" t="s">
        <v>237</v>
      </c>
      <c r="B6" s="4" t="s">
        <v>238</v>
      </c>
      <c r="C6" s="20" t="n">
        <v>10</v>
      </c>
      <c r="D6" s="24" t="n">
        <f aca="false">IF(B6="GBP",C6,C6/Inputs!$C$6)/12</f>
        <v>0.833333333333333</v>
      </c>
      <c r="E6" s="25" t="n">
        <f aca="false">D6*Inputs!$C$6</f>
        <v>0.958333333333333</v>
      </c>
      <c r="F6" s="4" t="n">
        <v>1</v>
      </c>
      <c r="G6" s="5" t="s">
        <v>239</v>
      </c>
      <c r="H6" s="10" t="s">
        <v>240</v>
      </c>
    </row>
    <row r="7" customFormat="false" ht="15" hidden="false" customHeight="false" outlineLevel="0" collapsed="false">
      <c r="A7" s="5" t="s">
        <v>241</v>
      </c>
      <c r="B7" s="4" t="s">
        <v>238</v>
      </c>
      <c r="C7" s="20" t="n">
        <v>10</v>
      </c>
      <c r="D7" s="24" t="n">
        <f aca="false">IF(B7="GBP",C7,C7/Inputs!$C$6)</f>
        <v>10</v>
      </c>
      <c r="E7" s="25" t="n">
        <f aca="false">D7*Inputs!$C$6</f>
        <v>11.5</v>
      </c>
      <c r="F7" s="4" t="n">
        <v>1</v>
      </c>
      <c r="G7" s="5" t="s">
        <v>239</v>
      </c>
      <c r="H7" s="10" t="s">
        <v>242</v>
      </c>
    </row>
    <row r="8" customFormat="false" ht="15" hidden="false" customHeight="false" outlineLevel="0" collapsed="false">
      <c r="A8" s="5" t="s">
        <v>243</v>
      </c>
      <c r="B8" s="4" t="s">
        <v>234</v>
      </c>
      <c r="C8" s="21" t="n">
        <v>5</v>
      </c>
      <c r="D8" s="24" t="n">
        <f aca="false">IF(B8="GBP",C8,C8/Inputs!$C$6)</f>
        <v>4.34782608695652</v>
      </c>
      <c r="E8" s="25" t="n">
        <f aca="false">D8*Inputs!$C$6</f>
        <v>5</v>
      </c>
      <c r="F8" s="4" t="n">
        <v>0</v>
      </c>
      <c r="G8" s="5" t="s">
        <v>239</v>
      </c>
      <c r="H8" s="10" t="s">
        <v>244</v>
      </c>
    </row>
    <row r="9" customFormat="false" ht="15" hidden="false" customHeight="false" outlineLevel="0" collapsed="false">
      <c r="A9" s="5" t="s">
        <v>245</v>
      </c>
      <c r="B9" s="4" t="s">
        <v>234</v>
      </c>
      <c r="C9" s="21" t="n">
        <v>5</v>
      </c>
      <c r="D9" s="24" t="n">
        <f aca="false">IF(B9="GBP",C9,C9/Inputs!$C$6)</f>
        <v>4.34782608695652</v>
      </c>
      <c r="E9" s="25" t="n">
        <f aca="false">D9*Inputs!$C$6</f>
        <v>5</v>
      </c>
      <c r="F9" s="4" t="n">
        <v>0</v>
      </c>
      <c r="G9" s="5" t="s">
        <v>239</v>
      </c>
      <c r="H9" s="10" t="s">
        <v>246</v>
      </c>
    </row>
    <row r="10" customFormat="false" ht="15" hidden="false" customHeight="false" outlineLevel="0" collapsed="false">
      <c r="A10" s="5" t="s">
        <v>247</v>
      </c>
      <c r="B10" s="4" t="s">
        <v>238</v>
      </c>
      <c r="C10" s="20" t="n">
        <v>0</v>
      </c>
      <c r="D10" s="24" t="n">
        <f aca="false">IF(B10="GBP",C10,C10/Inputs!$C$6)</f>
        <v>0</v>
      </c>
      <c r="E10" s="25" t="n">
        <f aca="false">D10*Inputs!$C$6</f>
        <v>0</v>
      </c>
      <c r="F10" s="4" t="n">
        <v>1</v>
      </c>
      <c r="G10" s="5" t="s">
        <v>248</v>
      </c>
      <c r="H10" s="10" t="s">
        <v>249</v>
      </c>
    </row>
    <row r="11" customFormat="false" ht="15" hidden="false" customHeight="false" outlineLevel="0" collapsed="false">
      <c r="A11" s="5" t="s">
        <v>250</v>
      </c>
      <c r="B11" s="4" t="s">
        <v>238</v>
      </c>
      <c r="C11" s="20" t="n">
        <v>0</v>
      </c>
      <c r="D11" s="24" t="n">
        <f aca="false">IF(B11="GBP",C11,C11/Inputs!$C$6)</f>
        <v>0</v>
      </c>
      <c r="E11" s="25" t="n">
        <f aca="false">D11*Inputs!$C$6</f>
        <v>0</v>
      </c>
      <c r="F11" s="4" t="n">
        <v>1</v>
      </c>
      <c r="G11" s="5" t="s">
        <v>248</v>
      </c>
      <c r="H11" s="10" t="s">
        <v>251</v>
      </c>
    </row>
    <row r="12" customFormat="false" ht="15" hidden="false" customHeight="false" outlineLevel="0" collapsed="false">
      <c r="A12" s="5" t="s">
        <v>252</v>
      </c>
      <c r="B12" s="4" t="s">
        <v>238</v>
      </c>
      <c r="C12" s="20" t="n">
        <v>0</v>
      </c>
      <c r="D12" s="24" t="n">
        <f aca="false">IF(B12="GBP",C12,C12/Inputs!$C$6)</f>
        <v>0</v>
      </c>
      <c r="E12" s="25" t="n">
        <f aca="false">D12*Inputs!$C$6</f>
        <v>0</v>
      </c>
      <c r="F12" s="4" t="n">
        <v>1</v>
      </c>
      <c r="G12" s="5" t="s">
        <v>253</v>
      </c>
      <c r="H12" s="10" t="s">
        <v>254</v>
      </c>
    </row>
    <row r="13" customFormat="false" ht="15" hidden="false" customHeight="false" outlineLevel="0" collapsed="false">
      <c r="A13" s="5" t="s">
        <v>255</v>
      </c>
      <c r="B13" s="4" t="s">
        <v>238</v>
      </c>
      <c r="C13" s="20" t="n">
        <v>0</v>
      </c>
      <c r="D13" s="24" t="n">
        <f aca="false">IF(B13="GBP",C13,C13/Inputs!$C$6)</f>
        <v>0</v>
      </c>
      <c r="E13" s="25" t="n">
        <f aca="false">D13*Inputs!$C$6</f>
        <v>0</v>
      </c>
      <c r="F13" s="4" t="n">
        <v>1</v>
      </c>
      <c r="G13" s="5" t="s">
        <v>256</v>
      </c>
      <c r="H13" s="10" t="s">
        <v>257</v>
      </c>
    </row>
    <row r="14" customFormat="false" ht="15" hidden="false" customHeight="false" outlineLevel="0" collapsed="false">
      <c r="A14" s="5" t="s">
        <v>258</v>
      </c>
      <c r="B14" s="4" t="s">
        <v>238</v>
      </c>
      <c r="C14" s="20" t="n">
        <v>0</v>
      </c>
      <c r="D14" s="24" t="n">
        <f aca="false">IF(B14="GBP",C14,C14/Inputs!$C$6)</f>
        <v>0</v>
      </c>
      <c r="E14" s="25" t="n">
        <f aca="false">D14*Inputs!$C$6</f>
        <v>0</v>
      </c>
      <c r="F14" s="4" t="n">
        <v>1</v>
      </c>
      <c r="G14" s="5" t="s">
        <v>253</v>
      </c>
      <c r="H14" s="10"/>
    </row>
    <row r="15" customFormat="false" ht="15" hidden="false" customHeight="false" outlineLevel="0" collapsed="false">
      <c r="A15" s="5" t="s">
        <v>259</v>
      </c>
      <c r="B15" s="4" t="s">
        <v>238</v>
      </c>
      <c r="C15" s="20" t="n">
        <v>0</v>
      </c>
      <c r="D15" s="24" t="n">
        <f aca="false">IF(B15="GBP",C15,C15/Inputs!$C$6)</f>
        <v>0</v>
      </c>
      <c r="E15" s="25" t="n">
        <f aca="false">D15*Inputs!$C$6</f>
        <v>0</v>
      </c>
      <c r="F15" s="4" t="n">
        <v>0</v>
      </c>
      <c r="G15" s="5" t="s">
        <v>260</v>
      </c>
      <c r="H15" s="10" t="s">
        <v>261</v>
      </c>
    </row>
    <row r="17" customFormat="false" ht="15" hidden="false" customHeight="false" outlineLevel="0" collapsed="false">
      <c r="A17" s="3" t="s">
        <v>262</v>
      </c>
      <c r="D17" s="26" t="n">
        <f aca="false">SUMPRODUCT(D5:D15,F5:F15)</f>
        <v>28.2246376811594</v>
      </c>
      <c r="E17" s="27" t="n">
        <f aca="false">D17*Inputs!$C$6</f>
        <v>32.4583333333333</v>
      </c>
    </row>
    <row r="18" customFormat="false" ht="15" hidden="false" customHeight="false" outlineLevel="0" collapsed="false">
      <c r="A18" s="5" t="s">
        <v>263</v>
      </c>
      <c r="D18" s="24" t="n">
        <f aca="false">SUM(D5:D15)</f>
        <v>36.9202898550725</v>
      </c>
      <c r="E18" s="25" t="n">
        <f aca="false">D18*Inputs!$C$6</f>
        <v>42.4583333333333</v>
      </c>
    </row>
    <row r="19" customFormat="false" ht="15" hidden="false" customHeight="false" outlineLevel="0" collapsed="false">
      <c r="A19" s="5" t="s">
        <v>264</v>
      </c>
      <c r="D19" s="24" t="n">
        <f aca="false">E19/Inputs!$C$6</f>
        <v>21.7391304347826</v>
      </c>
      <c r="E19" s="21" t="n">
        <v>25</v>
      </c>
    </row>
    <row r="20" customFormat="false" ht="15" hidden="false" customHeight="false" outlineLevel="0" collapsed="false">
      <c r="A20" s="5" t="s">
        <v>265</v>
      </c>
      <c r="D20" s="24" t="n">
        <f aca="false">D19-D17</f>
        <v>-6.48550724637681</v>
      </c>
      <c r="E20" s="25" t="n">
        <f aca="false">E19-E17</f>
        <v>-7.45833333333334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0"/>
    <col collapsed="false" customWidth="true" hidden="false" outlineLevel="0" max="3" min="3" style="0" width="9"/>
    <col collapsed="false" customWidth="true" hidden="false" outlineLevel="0" max="7" min="4" style="0" width="10"/>
    <col collapsed="false" customWidth="true" hidden="false" outlineLevel="0" max="10" min="8" style="0" width="11"/>
    <col collapsed="false" customWidth="true" hidden="false" outlineLevel="0" max="12" min="11" style="0" width="12"/>
    <col collapsed="false" customWidth="true" hidden="false" outlineLevel="0" max="13" min="13" style="0" width="40"/>
  </cols>
  <sheetData>
    <row r="1" customFormat="false" ht="17.35" hidden="false" customHeight="false" outlineLevel="0" collapsed="false">
      <c r="A1" s="1" t="s">
        <v>266</v>
      </c>
    </row>
    <row r="2" customFormat="false" ht="15" hidden="false" customHeight="false" outlineLevel="0" collapsed="false">
      <c r="A2" s="2" t="s">
        <v>267</v>
      </c>
    </row>
    <row r="4" customFormat="false" ht="30" hidden="false" customHeight="true" outlineLevel="0" collapsed="false">
      <c r="A4" s="8" t="s">
        <v>268</v>
      </c>
      <c r="B4" s="8" t="s">
        <v>269</v>
      </c>
      <c r="C4" s="8" t="s">
        <v>270</v>
      </c>
      <c r="D4" s="8" t="s">
        <v>271</v>
      </c>
      <c r="E4" s="8" t="s">
        <v>272</v>
      </c>
      <c r="F4" s="8" t="s">
        <v>273</v>
      </c>
      <c r="G4" s="8" t="s">
        <v>274</v>
      </c>
      <c r="H4" s="8" t="s">
        <v>275</v>
      </c>
      <c r="I4" s="8" t="s">
        <v>276</v>
      </c>
      <c r="J4" s="8" t="s">
        <v>277</v>
      </c>
      <c r="K4" s="8" t="s">
        <v>278</v>
      </c>
      <c r="L4" s="8" t="s">
        <v>279</v>
      </c>
      <c r="M4" s="8" t="s">
        <v>232</v>
      </c>
    </row>
    <row r="5" customFormat="false" ht="15" hidden="false" customHeight="false" outlineLevel="0" collapsed="false">
      <c r="A5" s="5" t="s">
        <v>280</v>
      </c>
      <c r="B5" s="20" t="n">
        <v>0</v>
      </c>
      <c r="C5" s="17" t="n">
        <v>0</v>
      </c>
      <c r="D5" s="24" t="n">
        <f aca="false">B5-B5/(1+Inputs!$C$22)</f>
        <v>0</v>
      </c>
      <c r="E5" s="24" t="n">
        <f aca="false">IF(B5=0,0,B5*(Inputs!$C$24+Inputs!$C$23)+Inputs!$C$27)</f>
        <v>0</v>
      </c>
      <c r="F5" s="24" t="n">
        <f aca="false">IF(B5=0,0,B5-D5-E5-C5/60*Inputs!$C$28)</f>
        <v>0</v>
      </c>
      <c r="G5" s="24" t="n">
        <f aca="false">IF(B5=0,0,B5-D5-(B5*(Inputs!$C$25+Inputs!$C$23)+Inputs!$C$27)-C5/60*Inputs!$C$28)</f>
        <v>0</v>
      </c>
      <c r="H5" s="24" t="n">
        <f aca="false">IF(B5=0,0,B5-D5-(B5*(Inputs!$C$26+Inputs!$C$23)+Inputs!$C$27)-C5/60*Inputs!$C$28)</f>
        <v>0</v>
      </c>
      <c r="I5" s="24" t="n">
        <f aca="false">F5*Inputs!$C$30+G5*Inputs!$C$31+H5*Inputs!$C$32</f>
        <v>0</v>
      </c>
      <c r="J5" s="24" t="n">
        <f aca="false">I5-B5*Inputs!$C$29</f>
        <v>0</v>
      </c>
      <c r="K5" s="28" t="n">
        <f aca="false">IF(B5=0,0,J5/B5)</f>
        <v>0</v>
      </c>
      <c r="L5" s="9" t="n">
        <v>0</v>
      </c>
      <c r="M5" s="2" t="s">
        <v>281</v>
      </c>
    </row>
    <row r="6" customFormat="false" ht="15" hidden="false" customHeight="false" outlineLevel="0" collapsed="false">
      <c r="A6" s="5" t="s">
        <v>282</v>
      </c>
      <c r="B6" s="20" t="n">
        <v>14</v>
      </c>
      <c r="C6" s="17" t="n">
        <v>0</v>
      </c>
      <c r="D6" s="24" t="n">
        <f aca="false">B6-B6/(1+Inputs!$C$22)</f>
        <v>2.33333333333333</v>
      </c>
      <c r="E6" s="24" t="n">
        <f aca="false">IF(B6=0,0,B6*(Inputs!$C$24+Inputs!$C$23)+Inputs!$C$27)</f>
        <v>0.9</v>
      </c>
      <c r="F6" s="24" t="n">
        <f aca="false">IF(B6=0,0,B6-D6-E6-C6/60*Inputs!$C$28)</f>
        <v>10.7666666666667</v>
      </c>
      <c r="G6" s="24" t="n">
        <f aca="false">IF(B6=0,0,B6-D6-(B6*(Inputs!$C$25+Inputs!$C$23)+Inputs!$C$27)-C6/60*Inputs!$C$28)</f>
        <v>10.3466666666667</v>
      </c>
      <c r="H6" s="24" t="n">
        <f aca="false">IF(B6=0,0,B6-D6-(B6*(Inputs!$C$26+Inputs!$C$23)+Inputs!$C$27)-C6/60*Inputs!$C$28)</f>
        <v>10.2556666666667</v>
      </c>
      <c r="I6" s="24" t="n">
        <f aca="false">F6*Inputs!$C$30+G6*Inputs!$C$31+H6*Inputs!$C$32</f>
        <v>10.5804666666667</v>
      </c>
      <c r="J6" s="24" t="n">
        <f aca="false">I6-B6*Inputs!$C$29</f>
        <v>10.1604666666667</v>
      </c>
      <c r="K6" s="28" t="n">
        <f aca="false">IF(B6=0,0,J6/B6)</f>
        <v>0.725747619047619</v>
      </c>
      <c r="L6" s="9" t="n">
        <v>10.77</v>
      </c>
      <c r="M6" s="2" t="s">
        <v>281</v>
      </c>
    </row>
    <row r="7" customFormat="false" ht="15" hidden="false" customHeight="false" outlineLevel="0" collapsed="false">
      <c r="A7" s="5" t="s">
        <v>283</v>
      </c>
      <c r="B7" s="20" t="n">
        <v>6</v>
      </c>
      <c r="C7" s="17" t="n">
        <v>0</v>
      </c>
      <c r="D7" s="24" t="n">
        <f aca="false">B7-B7/(1+Inputs!$C$22)</f>
        <v>1</v>
      </c>
      <c r="E7" s="24" t="n">
        <f aca="false">IF(B7=0,0,B7*(Inputs!$C$24+Inputs!$C$23)+Inputs!$C$27)</f>
        <v>0.5</v>
      </c>
      <c r="F7" s="24" t="n">
        <f aca="false">IF(B7=0,0,B7-D7-E7-C7/60*Inputs!$C$28)</f>
        <v>4.5</v>
      </c>
      <c r="G7" s="24" t="n">
        <f aca="false">IF(B7=0,0,B7-D7-(B7*(Inputs!$C$25+Inputs!$C$23)+Inputs!$C$27)-C7/60*Inputs!$C$28)</f>
        <v>4.32</v>
      </c>
      <c r="H7" s="24" t="n">
        <f aca="false">IF(B7=0,0,B7-D7-(B7*(Inputs!$C$26+Inputs!$C$23)+Inputs!$C$27)-C7/60*Inputs!$C$28)</f>
        <v>4.281</v>
      </c>
      <c r="I7" s="24" t="n">
        <f aca="false">F7*Inputs!$C$30+G7*Inputs!$C$31+H7*Inputs!$C$32</f>
        <v>4.4202</v>
      </c>
      <c r="J7" s="24" t="n">
        <f aca="false">I7-B7*Inputs!$C$29</f>
        <v>4.2402</v>
      </c>
      <c r="K7" s="28" t="n">
        <f aca="false">IF(B7=0,0,J7/B7)</f>
        <v>0.7067</v>
      </c>
      <c r="L7" s="9" t="n">
        <v>4.5</v>
      </c>
      <c r="M7" s="2" t="s">
        <v>284</v>
      </c>
    </row>
    <row r="8" customFormat="false" ht="15" hidden="false" customHeight="false" outlineLevel="0" collapsed="false">
      <c r="A8" s="5" t="s">
        <v>285</v>
      </c>
      <c r="B8" s="20" t="n">
        <v>9</v>
      </c>
      <c r="C8" s="17" t="n">
        <v>0</v>
      </c>
      <c r="D8" s="24" t="n">
        <f aca="false">B8-B8/(1+Inputs!$C$22)</f>
        <v>1.5</v>
      </c>
      <c r="E8" s="24" t="n">
        <f aca="false">IF(B8=0,0,B8*(Inputs!$C$24+Inputs!$C$23)+Inputs!$C$27)</f>
        <v>0.65</v>
      </c>
      <c r="F8" s="24" t="n">
        <f aca="false">IF(B8=0,0,B8-D8-E8-C8/60*Inputs!$C$28)</f>
        <v>6.85</v>
      </c>
      <c r="G8" s="24" t="n">
        <f aca="false">IF(B8=0,0,B8-D8-(B8*(Inputs!$C$25+Inputs!$C$23)+Inputs!$C$27)-C8/60*Inputs!$C$28)</f>
        <v>6.58</v>
      </c>
      <c r="H8" s="24" t="n">
        <f aca="false">IF(B8=0,0,B8-D8-(B8*(Inputs!$C$26+Inputs!$C$23)+Inputs!$C$27)-C8/60*Inputs!$C$28)</f>
        <v>6.5215</v>
      </c>
      <c r="I8" s="24" t="n">
        <f aca="false">F8*Inputs!$C$30+G8*Inputs!$C$31+H8*Inputs!$C$32</f>
        <v>6.7303</v>
      </c>
      <c r="J8" s="24" t="n">
        <f aca="false">I8-B8*Inputs!$C$29</f>
        <v>6.4603</v>
      </c>
      <c r="K8" s="28" t="n">
        <f aca="false">IF(B8=0,0,J8/B8)</f>
        <v>0.717811111111111</v>
      </c>
      <c r="L8" s="9" t="n">
        <v>6.85</v>
      </c>
      <c r="M8" s="2" t="s">
        <v>284</v>
      </c>
    </row>
    <row r="9" customFormat="false" ht="15" hidden="false" customHeight="false" outlineLevel="0" collapsed="false">
      <c r="A9" s="5" t="s">
        <v>286</v>
      </c>
      <c r="B9" s="20" t="n">
        <v>29</v>
      </c>
      <c r="C9" s="17" t="n">
        <v>0</v>
      </c>
      <c r="D9" s="24" t="n">
        <f aca="false">B9-B9/(1+Inputs!$C$22)</f>
        <v>4.83333333333333</v>
      </c>
      <c r="E9" s="24" t="n">
        <f aca="false">IF(B9=0,0,B9*(Inputs!$C$24+Inputs!$C$23)+Inputs!$C$27)</f>
        <v>1.65</v>
      </c>
      <c r="F9" s="24" t="n">
        <f aca="false">IF(B9=0,0,B9-D9-E9-C9/60*Inputs!$C$28)</f>
        <v>22.5166666666667</v>
      </c>
      <c r="G9" s="24" t="n">
        <f aca="false">IF(B9=0,0,B9-D9-(B9*(Inputs!$C$25+Inputs!$C$23)+Inputs!$C$27)-C9/60*Inputs!$C$28)</f>
        <v>21.6466666666667</v>
      </c>
      <c r="H9" s="24" t="n">
        <f aca="false">IF(B9=0,0,B9-D9-(B9*(Inputs!$C$26+Inputs!$C$23)+Inputs!$C$27)-C9/60*Inputs!$C$28)</f>
        <v>21.4581666666667</v>
      </c>
      <c r="I9" s="24" t="n">
        <f aca="false">F9*Inputs!$C$30+G9*Inputs!$C$31+H9*Inputs!$C$32</f>
        <v>22.1309666666667</v>
      </c>
      <c r="J9" s="24" t="n">
        <f aca="false">I9-B9*Inputs!$C$29</f>
        <v>21.2609666666667</v>
      </c>
      <c r="K9" s="28" t="n">
        <f aca="false">IF(B9=0,0,J9/B9)</f>
        <v>0.733136781609196</v>
      </c>
      <c r="L9" s="9" t="n">
        <v>22.52</v>
      </c>
      <c r="M9" s="2" t="s">
        <v>284</v>
      </c>
    </row>
    <row r="10" customFormat="false" ht="15" hidden="false" customHeight="false" outlineLevel="0" collapsed="false">
      <c r="A10" s="5" t="s">
        <v>287</v>
      </c>
      <c r="B10" s="20" t="n">
        <v>15</v>
      </c>
      <c r="C10" s="17" t="n">
        <v>0</v>
      </c>
      <c r="D10" s="24" t="n">
        <f aca="false">B10-B10/(1+Inputs!$C$22)</f>
        <v>2.5</v>
      </c>
      <c r="E10" s="24" t="n">
        <f aca="false">IF(B10=0,0,B10*(Inputs!$C$24+Inputs!$C$23)+Inputs!$C$27)</f>
        <v>0.95</v>
      </c>
      <c r="F10" s="24" t="n">
        <f aca="false">IF(B10=0,0,B10-D10-E10-C10/60*Inputs!$C$28)</f>
        <v>11.55</v>
      </c>
      <c r="G10" s="24" t="n">
        <f aca="false">IF(B10=0,0,B10-D10-(B10*(Inputs!$C$25+Inputs!$C$23)+Inputs!$C$27)-C10/60*Inputs!$C$28)</f>
        <v>11.1</v>
      </c>
      <c r="H10" s="24" t="n">
        <f aca="false">IF(B10=0,0,B10-D10-(B10*(Inputs!$C$26+Inputs!$C$23)+Inputs!$C$27)-C10/60*Inputs!$C$28)</f>
        <v>11.0025</v>
      </c>
      <c r="I10" s="24" t="n">
        <f aca="false">F10*Inputs!$C$30+G10*Inputs!$C$31+H10*Inputs!$C$32</f>
        <v>11.3505</v>
      </c>
      <c r="J10" s="24" t="n">
        <f aca="false">I10-B10*Inputs!$C$29</f>
        <v>10.9005</v>
      </c>
      <c r="K10" s="28" t="n">
        <f aca="false">IF(B10=0,0,J10/B10)</f>
        <v>0.7267</v>
      </c>
      <c r="L10" s="9" t="n">
        <v>11.55</v>
      </c>
      <c r="M10" s="2" t="s">
        <v>284</v>
      </c>
    </row>
    <row r="11" customFormat="false" ht="15" hidden="false" customHeight="false" outlineLevel="0" collapsed="false">
      <c r="A11" s="5" t="s">
        <v>288</v>
      </c>
      <c r="B11" s="20" t="n">
        <v>19</v>
      </c>
      <c r="C11" s="17" t="n">
        <v>3</v>
      </c>
      <c r="D11" s="24" t="n">
        <f aca="false">B11-B11/(1+Inputs!$C$22)</f>
        <v>3.16666666666667</v>
      </c>
      <c r="E11" s="24" t="n">
        <f aca="false">IF(B11=0,0,B11*(Inputs!$C$24+Inputs!$C$23)+Inputs!$C$27)</f>
        <v>1.15</v>
      </c>
      <c r="F11" s="24" t="n">
        <f aca="false">IF(B11=0,0,B11-D11-E11-C11/60*Inputs!$C$28)</f>
        <v>13.9333333333333</v>
      </c>
      <c r="G11" s="24" t="n">
        <f aca="false">IF(B11=0,0,B11-D11-(B11*(Inputs!$C$25+Inputs!$C$23)+Inputs!$C$27)-C11/60*Inputs!$C$28)</f>
        <v>13.3633333333333</v>
      </c>
      <c r="H11" s="24" t="n">
        <f aca="false">IF(B11=0,0,B11-D11-(B11*(Inputs!$C$26+Inputs!$C$23)+Inputs!$C$27)-C11/60*Inputs!$C$28)</f>
        <v>13.2398333333333</v>
      </c>
      <c r="I11" s="24" t="n">
        <f aca="false">F11*Inputs!$C$30+G11*Inputs!$C$31+H11*Inputs!$C$32</f>
        <v>13.6806333333333</v>
      </c>
      <c r="J11" s="24" t="n">
        <f aca="false">I11-B11*Inputs!$C$29</f>
        <v>13.1106333333333</v>
      </c>
      <c r="K11" s="28" t="n">
        <f aca="false">IF(B11=0,0,J11/B11)</f>
        <v>0.690033333333333</v>
      </c>
      <c r="L11" s="9" t="n">
        <v>13.93</v>
      </c>
      <c r="M11" s="2" t="s">
        <v>289</v>
      </c>
    </row>
    <row r="12" customFormat="false" ht="15" hidden="false" customHeight="false" outlineLevel="0" collapsed="false">
      <c r="A12" s="5" t="s">
        <v>290</v>
      </c>
      <c r="B12" s="20" t="n">
        <v>22</v>
      </c>
      <c r="C12" s="17" t="n">
        <v>4</v>
      </c>
      <c r="D12" s="24" t="n">
        <f aca="false">B12-B12/(1+Inputs!$C$22)</f>
        <v>3.66666666666666</v>
      </c>
      <c r="E12" s="24" t="n">
        <f aca="false">IF(B12=0,0,B12*(Inputs!$C$24+Inputs!$C$23)+Inputs!$C$27)</f>
        <v>1.3</v>
      </c>
      <c r="F12" s="24" t="n">
        <f aca="false">IF(B12=0,0,B12-D12-E12-C12/60*Inputs!$C$28)</f>
        <v>16.0333333333333</v>
      </c>
      <c r="G12" s="24" t="n">
        <f aca="false">IF(B12=0,0,B12-D12-(B12*(Inputs!$C$25+Inputs!$C$23)+Inputs!$C$27)-C12/60*Inputs!$C$28)</f>
        <v>15.3733333333333</v>
      </c>
      <c r="H12" s="24" t="n">
        <f aca="false">IF(B12=0,0,B12-D12-(B12*(Inputs!$C$26+Inputs!$C$23)+Inputs!$C$27)-C12/60*Inputs!$C$28)</f>
        <v>15.2303333333333</v>
      </c>
      <c r="I12" s="24" t="n">
        <f aca="false">F12*Inputs!$C$30+G12*Inputs!$C$31+H12*Inputs!$C$32</f>
        <v>15.7407333333333</v>
      </c>
      <c r="J12" s="24" t="n">
        <f aca="false">I12-B12*Inputs!$C$29</f>
        <v>15.0807333333333</v>
      </c>
      <c r="K12" s="28" t="n">
        <f aca="false">IF(B12=0,0,J12/B12)</f>
        <v>0.685487878787879</v>
      </c>
      <c r="L12" s="9" t="n">
        <v>16.03</v>
      </c>
      <c r="M12" s="2" t="s">
        <v>289</v>
      </c>
    </row>
    <row r="13" customFormat="false" ht="15" hidden="false" customHeight="false" outlineLevel="0" collapsed="false">
      <c r="A13" s="5" t="s">
        <v>291</v>
      </c>
      <c r="B13" s="20" t="n">
        <v>34</v>
      </c>
      <c r="C13" s="17" t="n">
        <v>3</v>
      </c>
      <c r="D13" s="24" t="n">
        <f aca="false">B13-B13/(1+Inputs!$C$22)</f>
        <v>5.66666666666666</v>
      </c>
      <c r="E13" s="24" t="n">
        <f aca="false">IF(B13=0,0,B13*(Inputs!$C$24+Inputs!$C$23)+Inputs!$C$27)</f>
        <v>1.9</v>
      </c>
      <c r="F13" s="24" t="n">
        <f aca="false">IF(B13=0,0,B13-D13-E13-C13/60*Inputs!$C$28)</f>
        <v>25.6833333333333</v>
      </c>
      <c r="G13" s="24" t="n">
        <f aca="false">IF(B13=0,0,B13-D13-(B13*(Inputs!$C$25+Inputs!$C$23)+Inputs!$C$27)-C13/60*Inputs!$C$28)</f>
        <v>24.6633333333333</v>
      </c>
      <c r="H13" s="24" t="n">
        <f aca="false">IF(B13=0,0,B13-D13-(B13*(Inputs!$C$26+Inputs!$C$23)+Inputs!$C$27)-C13/60*Inputs!$C$28)</f>
        <v>24.4423333333333</v>
      </c>
      <c r="I13" s="24" t="n">
        <f aca="false">F13*Inputs!$C$30+G13*Inputs!$C$31+H13*Inputs!$C$32</f>
        <v>25.2311333333333</v>
      </c>
      <c r="J13" s="24" t="n">
        <f aca="false">I13-B13*Inputs!$C$29</f>
        <v>24.2111333333333</v>
      </c>
      <c r="K13" s="28" t="n">
        <f aca="false">IF(B13=0,0,J13/B13)</f>
        <v>0.712092156862745</v>
      </c>
      <c r="L13" s="9" t="n">
        <v>25.68</v>
      </c>
      <c r="M13" s="2" t="s">
        <v>284</v>
      </c>
    </row>
    <row r="15" customFormat="false" ht="15" hidden="false" customHeight="false" outlineLevel="0" collapsed="false">
      <c r="A15" s="3" t="s">
        <v>292</v>
      </c>
    </row>
    <row r="16" customFormat="false" ht="15" hidden="false" customHeight="false" outlineLevel="0" collapsed="false">
      <c r="A16" s="5" t="s">
        <v>293</v>
      </c>
      <c r="B16" s="9" t="n">
        <f aca="false">Inputs!$C$70</f>
        <v>12.99</v>
      </c>
    </row>
    <row r="17" customFormat="false" ht="15" hidden="false" customHeight="false" outlineLevel="0" collapsed="false">
      <c r="A17" s="5" t="s">
        <v>294</v>
      </c>
      <c r="B17" s="24" t="n">
        <f aca="false">Inputs!$C$70*Inputs!$C$71-Inputs!$C$72</f>
        <v>5.504</v>
      </c>
    </row>
    <row r="18" customFormat="false" ht="15" hidden="false" customHeight="false" outlineLevel="0" collapsed="false">
      <c r="A18" s="5" t="s">
        <v>295</v>
      </c>
      <c r="B18" s="9" t="n">
        <f aca="false">Inputs!$C$72</f>
        <v>2.29</v>
      </c>
    </row>
    <row r="19" customFormat="false" ht="15" hidden="false" customHeight="false" outlineLevel="0" collapsed="false">
      <c r="A19" s="2" t="s">
        <v>296</v>
      </c>
    </row>
    <row r="21" customFormat="false" ht="15" hidden="false" customHeight="false" outlineLevel="0" collapsed="false">
      <c r="A21" s="5" t="s">
        <v>297</v>
      </c>
      <c r="B21" s="29" t="n">
        <f aca="false">SUMPRODUCT(--(ABS(F5:F13-L5:L13)&gt;0.011))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F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4" min="2" style="0" width="13"/>
    <col collapsed="false" customWidth="true" hidden="false" outlineLevel="0" max="5" min="5" style="0" width="4"/>
    <col collapsed="false" customWidth="true" hidden="false" outlineLevel="0" max="6" min="6" style="0" width="60"/>
  </cols>
  <sheetData>
    <row r="1" customFormat="false" ht="17.35" hidden="false" customHeight="false" outlineLevel="0" collapsed="false">
      <c r="A1" s="1" t="s">
        <v>298</v>
      </c>
    </row>
    <row r="2" customFormat="false" ht="15" hidden="false" customHeight="false" outlineLevel="0" collapsed="false">
      <c r="A2" s="2" t="s">
        <v>299</v>
      </c>
    </row>
    <row r="4" customFormat="false" ht="15" hidden="false" customHeight="false" outlineLevel="0" collapsed="false">
      <c r="A4" s="14" t="s">
        <v>300</v>
      </c>
      <c r="B4" s="15"/>
      <c r="C4" s="15"/>
      <c r="D4" s="15"/>
      <c r="F4" s="15"/>
    </row>
    <row r="5" customFormat="false" ht="30" hidden="false" customHeight="true" outlineLevel="0" collapsed="false">
      <c r="A5" s="8" t="s">
        <v>301</v>
      </c>
      <c r="B5" s="8" t="s">
        <v>302</v>
      </c>
      <c r="C5" s="8" t="s">
        <v>303</v>
      </c>
      <c r="D5" s="8" t="s">
        <v>304</v>
      </c>
      <c r="E5" s="8"/>
      <c r="F5" s="8" t="s">
        <v>63</v>
      </c>
    </row>
    <row r="6" customFormat="false" ht="15" hidden="false" customHeight="false" outlineLevel="0" collapsed="false">
      <c r="A6" s="5" t="s">
        <v>305</v>
      </c>
      <c r="B6" s="20" t="n">
        <v>28</v>
      </c>
      <c r="C6" s="20" t="n">
        <v>28</v>
      </c>
      <c r="D6" s="20" t="n">
        <v>28</v>
      </c>
      <c r="F6" s="10" t="s">
        <v>306</v>
      </c>
    </row>
    <row r="7" customFormat="false" ht="15" hidden="false" customHeight="false" outlineLevel="0" collapsed="false">
      <c r="A7" s="5" t="s">
        <v>307</v>
      </c>
      <c r="B7" s="20" t="n">
        <v>3.95</v>
      </c>
      <c r="C7" s="20" t="n">
        <v>5.95</v>
      </c>
      <c r="D7" s="20" t="n">
        <v>6.95</v>
      </c>
      <c r="F7" s="10" t="s">
        <v>308</v>
      </c>
    </row>
    <row r="8" customFormat="false" ht="15" hidden="false" customHeight="false" outlineLevel="0" collapsed="false">
      <c r="A8" s="3" t="s">
        <v>309</v>
      </c>
      <c r="B8" s="26" t="n">
        <f aca="false">B6+B7</f>
        <v>31.95</v>
      </c>
      <c r="C8" s="26" t="n">
        <f aca="false">C6+C7</f>
        <v>33.95</v>
      </c>
      <c r="D8" s="26" t="n">
        <f aca="false">D6+D7</f>
        <v>34.95</v>
      </c>
      <c r="F8" s="10"/>
    </row>
    <row r="9" customFormat="false" ht="22.35" hidden="false" customHeight="false" outlineLevel="0" collapsed="false">
      <c r="A9" s="5" t="s">
        <v>310</v>
      </c>
      <c r="B9" s="22" t="n">
        <v>12.95</v>
      </c>
      <c r="C9" s="22" t="n">
        <v>12.95</v>
      </c>
      <c r="D9" s="22" t="n">
        <v>12.95</v>
      </c>
      <c r="F9" s="10" t="s">
        <v>311</v>
      </c>
    </row>
    <row r="10" customFormat="false" ht="15" hidden="false" customHeight="false" outlineLevel="0" collapsed="false">
      <c r="A10" s="5" t="s">
        <v>312</v>
      </c>
      <c r="B10" s="24" t="n">
        <f aca="false">B9*Inputs!$C$7</f>
        <v>9.7125</v>
      </c>
      <c r="C10" s="24" t="n">
        <f aca="false">C9*Inputs!$C$7</f>
        <v>9.7125</v>
      </c>
      <c r="D10" s="24" t="n">
        <f aca="false">D9*Inputs!$C$7</f>
        <v>9.7125</v>
      </c>
      <c r="F10" s="10" t="s">
        <v>313</v>
      </c>
    </row>
    <row r="11" customFormat="false" ht="15" hidden="false" customHeight="false" outlineLevel="0" collapsed="false">
      <c r="A11" s="5" t="s">
        <v>314</v>
      </c>
      <c r="B11" s="20" t="n">
        <f aca="false">3.99*Inputs!$C$7</f>
        <v>2.9925</v>
      </c>
      <c r="C11" s="20" t="n">
        <f aca="false">4.99*Inputs!$C$7</f>
        <v>3.7425</v>
      </c>
      <c r="D11" s="20" t="n">
        <f aca="false">3.99*Inputs!$C$7</f>
        <v>2.9925</v>
      </c>
      <c r="F11" s="10" t="s">
        <v>315</v>
      </c>
    </row>
    <row r="12" customFormat="false" ht="15" hidden="false" customHeight="false" outlineLevel="0" collapsed="false">
      <c r="A12" s="5" t="s">
        <v>316</v>
      </c>
      <c r="B12" s="20" t="n">
        <v>0</v>
      </c>
      <c r="C12" s="20" t="n">
        <v>0</v>
      </c>
      <c r="D12" s="20" t="n">
        <v>0</v>
      </c>
      <c r="F12" s="10" t="s">
        <v>317</v>
      </c>
    </row>
    <row r="13" customFormat="false" ht="15" hidden="false" customHeight="false" outlineLevel="0" collapsed="false">
      <c r="A13" s="5" t="s">
        <v>318</v>
      </c>
      <c r="B13" s="24" t="n">
        <f aca="false">Inputs!$C$43*Inputs!$C$7</f>
        <v>0.15</v>
      </c>
      <c r="C13" s="24" t="n">
        <f aca="false">Inputs!$C$43*Inputs!$C$7</f>
        <v>0.15</v>
      </c>
      <c r="D13" s="24" t="n">
        <f aca="false">Inputs!$C$43*Inputs!$C$7</f>
        <v>0.15</v>
      </c>
      <c r="F13" s="10"/>
    </row>
    <row r="14" customFormat="false" ht="15" hidden="false" customHeight="false" outlineLevel="0" collapsed="false">
      <c r="A14" s="5" t="s">
        <v>319</v>
      </c>
      <c r="B14" s="24" t="n">
        <f aca="false">B8*Inputs!$C$44</f>
        <v>2.07675</v>
      </c>
      <c r="C14" s="24" t="n">
        <f aca="false">C8*Inputs!$C$44</f>
        <v>2.20675</v>
      </c>
      <c r="D14" s="24" t="n">
        <f aca="false">D8*Inputs!$C$44</f>
        <v>2.27175</v>
      </c>
      <c r="F14" s="10" t="s">
        <v>320</v>
      </c>
    </row>
    <row r="15" customFormat="false" ht="15" hidden="false" customHeight="false" outlineLevel="0" collapsed="false">
      <c r="A15" s="5" t="s">
        <v>321</v>
      </c>
      <c r="B15" s="24" t="n">
        <f aca="false">B8*Inputs!$C$45+Inputs!$C$46</f>
        <v>1.478</v>
      </c>
      <c r="C15" s="24" t="n">
        <f aca="false">C8*Inputs!$C$45+Inputs!$C$46</f>
        <v>1.558</v>
      </c>
      <c r="D15" s="24" t="n">
        <f aca="false">D8*Inputs!$C$45+Inputs!$C$46</f>
        <v>1.598</v>
      </c>
      <c r="F15" s="10" t="s">
        <v>322</v>
      </c>
    </row>
    <row r="16" customFormat="false" ht="15" hidden="false" customHeight="false" outlineLevel="0" collapsed="false">
      <c r="A16" s="5" t="s">
        <v>323</v>
      </c>
      <c r="B16" s="24" t="n">
        <f aca="false">(B13+B14+B15)*Inputs!$C$47</f>
        <v>0.74095</v>
      </c>
      <c r="C16" s="24" t="n">
        <f aca="false">(C13+C14+C15)*Inputs!$C$47</f>
        <v>0.78295</v>
      </c>
      <c r="D16" s="24" t="n">
        <f aca="false">(D13+D14+D15)*Inputs!$C$47</f>
        <v>0.80395</v>
      </c>
      <c r="F16" s="10" t="s">
        <v>324</v>
      </c>
    </row>
    <row r="17" customFormat="false" ht="15" hidden="false" customHeight="false" outlineLevel="0" collapsed="false">
      <c r="A17" s="5" t="s">
        <v>325</v>
      </c>
      <c r="B17" s="24" t="n">
        <f aca="false">B6*Inputs!$C$48</f>
        <v>1.4</v>
      </c>
      <c r="C17" s="24" t="n">
        <f aca="false">C6*Inputs!$C$48</f>
        <v>1.4</v>
      </c>
      <c r="D17" s="24" t="n">
        <f aca="false">D6*Inputs!$C$48</f>
        <v>1.4</v>
      </c>
      <c r="F17" s="10" t="s">
        <v>326</v>
      </c>
    </row>
    <row r="18" customFormat="false" ht="15" hidden="false" customHeight="false" outlineLevel="0" collapsed="false">
      <c r="A18" s="3" t="s">
        <v>327</v>
      </c>
      <c r="B18" s="26" t="n">
        <f aca="false">B10+B11+B12+B13+B14+B15+B16+B17</f>
        <v>18.5507</v>
      </c>
      <c r="C18" s="26" t="n">
        <f aca="false">C10+C11+C12+C13+C14+C15+C16+C17</f>
        <v>19.5527</v>
      </c>
      <c r="D18" s="26" t="n">
        <f aca="false">D10+D11+D12+D13+D14+D15+D16+D17</f>
        <v>18.9287</v>
      </c>
      <c r="F18" s="10"/>
    </row>
    <row r="19" customFormat="false" ht="15" hidden="false" customHeight="false" outlineLevel="0" collapsed="false">
      <c r="A19" s="3" t="s">
        <v>328</v>
      </c>
      <c r="B19" s="26" t="n">
        <f aca="false">B8-B18</f>
        <v>13.3993</v>
      </c>
      <c r="C19" s="26" t="n">
        <f aca="false">C8-C18</f>
        <v>14.3973</v>
      </c>
      <c r="D19" s="26" t="n">
        <f aca="false">D8-D18</f>
        <v>16.0213</v>
      </c>
      <c r="F19" s="10"/>
    </row>
    <row r="20" customFormat="false" ht="15" hidden="false" customHeight="false" outlineLevel="0" collapsed="false">
      <c r="A20" s="5" t="s">
        <v>329</v>
      </c>
      <c r="B20" s="28" t="n">
        <f aca="false">IF(B8=0,0,B19/B8)</f>
        <v>0.419383411580595</v>
      </c>
      <c r="C20" s="28" t="n">
        <f aca="false">IF(C8=0,0,C19/C8)</f>
        <v>0.424073637702504</v>
      </c>
      <c r="D20" s="28" t="n">
        <f aca="false">IF(D8=0,0,D19/D8)</f>
        <v>0.458406294706724</v>
      </c>
      <c r="F20" s="10"/>
    </row>
    <row r="21" customFormat="false" ht="22.35" hidden="false" customHeight="false" outlineLevel="0" collapsed="false">
      <c r="A21" s="5" t="s">
        <v>330</v>
      </c>
      <c r="B21" s="24" t="n">
        <f aca="false">B8-B10-B11-B12-(B8*Inputs!$C$24+Inputs!$C$27)-B17</f>
        <v>17.16575</v>
      </c>
      <c r="C21" s="24" t="n">
        <f aca="false">C8-C10-C11-C12-(C8*Inputs!$C$25+Inputs!$C$27)-C17</f>
        <v>17.36725</v>
      </c>
      <c r="D21" s="24" t="n">
        <f aca="false">D8-D10-D11-D12-(D8*Inputs!$C$26+Inputs!$C$27)-D17</f>
        <v>18.845075</v>
      </c>
      <c r="F21" s="10" t="s">
        <v>331</v>
      </c>
    </row>
    <row r="23" customFormat="false" ht="15" hidden="false" customHeight="false" outlineLevel="0" collapsed="false">
      <c r="A23" s="14" t="s">
        <v>332</v>
      </c>
      <c r="B23" s="15"/>
      <c r="C23" s="15"/>
      <c r="D23" s="15"/>
      <c r="F23" s="15"/>
    </row>
    <row r="24" customFormat="false" ht="30" hidden="false" customHeight="true" outlineLevel="0" collapsed="false">
      <c r="A24" s="8" t="s">
        <v>301</v>
      </c>
      <c r="B24" s="8" t="s">
        <v>302</v>
      </c>
      <c r="C24" s="8" t="s">
        <v>303</v>
      </c>
      <c r="D24" s="8" t="s">
        <v>304</v>
      </c>
      <c r="E24" s="8"/>
      <c r="F24" s="8" t="s">
        <v>63</v>
      </c>
    </row>
    <row r="25" customFormat="false" ht="15" hidden="false" customHeight="false" outlineLevel="0" collapsed="false">
      <c r="A25" s="5" t="s">
        <v>305</v>
      </c>
      <c r="B25" s="20" t="n">
        <v>22</v>
      </c>
      <c r="C25" s="20" t="n">
        <v>22</v>
      </c>
      <c r="D25" s="20" t="n">
        <v>22</v>
      </c>
      <c r="F25" s="10" t="s">
        <v>306</v>
      </c>
    </row>
    <row r="26" customFormat="false" ht="15" hidden="false" customHeight="false" outlineLevel="0" collapsed="false">
      <c r="A26" s="5" t="s">
        <v>307</v>
      </c>
      <c r="B26" s="20" t="n">
        <v>3.95</v>
      </c>
      <c r="C26" s="20" t="n">
        <v>5.95</v>
      </c>
      <c r="D26" s="20" t="n">
        <v>6.95</v>
      </c>
      <c r="F26" s="10" t="s">
        <v>308</v>
      </c>
    </row>
    <row r="27" customFormat="false" ht="15" hidden="false" customHeight="false" outlineLevel="0" collapsed="false">
      <c r="A27" s="3" t="s">
        <v>309</v>
      </c>
      <c r="B27" s="26" t="n">
        <f aca="false">B25+B26</f>
        <v>25.95</v>
      </c>
      <c r="C27" s="26" t="n">
        <f aca="false">C25+C26</f>
        <v>27.95</v>
      </c>
      <c r="D27" s="26" t="n">
        <f aca="false">D25+D26</f>
        <v>28.95</v>
      </c>
      <c r="F27" s="10"/>
    </row>
    <row r="28" customFormat="false" ht="22.35" hidden="false" customHeight="false" outlineLevel="0" collapsed="false">
      <c r="A28" s="5" t="s">
        <v>310</v>
      </c>
      <c r="B28" s="22" t="n">
        <v>10.95</v>
      </c>
      <c r="C28" s="22" t="n">
        <v>10.95</v>
      </c>
      <c r="D28" s="22" t="n">
        <v>10.95</v>
      </c>
      <c r="F28" s="10" t="s">
        <v>333</v>
      </c>
    </row>
    <row r="29" customFormat="false" ht="15" hidden="false" customHeight="false" outlineLevel="0" collapsed="false">
      <c r="A29" s="5" t="s">
        <v>312</v>
      </c>
      <c r="B29" s="24" t="n">
        <f aca="false">B28*Inputs!$C$7</f>
        <v>8.2125</v>
      </c>
      <c r="C29" s="24" t="n">
        <f aca="false">C28*Inputs!$C$7</f>
        <v>8.2125</v>
      </c>
      <c r="D29" s="24" t="n">
        <f aca="false">D28*Inputs!$C$7</f>
        <v>8.2125</v>
      </c>
      <c r="F29" s="10" t="s">
        <v>313</v>
      </c>
    </row>
    <row r="30" customFormat="false" ht="15" hidden="false" customHeight="false" outlineLevel="0" collapsed="false">
      <c r="A30" s="5" t="s">
        <v>314</v>
      </c>
      <c r="B30" s="20" t="n">
        <f aca="false">4.99</f>
        <v>4.99</v>
      </c>
      <c r="C30" s="20" t="n">
        <f aca="false">5.49/Inputs!$C$6</f>
        <v>4.77391304347826</v>
      </c>
      <c r="D30" s="20" t="n">
        <f aca="false">4.99*Inputs!$C$7</f>
        <v>3.7425</v>
      </c>
      <c r="F30" s="10" t="s">
        <v>315</v>
      </c>
    </row>
    <row r="31" customFormat="false" ht="15" hidden="false" customHeight="false" outlineLevel="0" collapsed="false">
      <c r="A31" s="5" t="s">
        <v>316</v>
      </c>
      <c r="B31" s="20" t="n">
        <v>0</v>
      </c>
      <c r="C31" s="20" t="n">
        <v>0</v>
      </c>
      <c r="D31" s="20" t="n">
        <v>0</v>
      </c>
      <c r="F31" s="10" t="s">
        <v>317</v>
      </c>
    </row>
    <row r="32" customFormat="false" ht="15" hidden="false" customHeight="false" outlineLevel="0" collapsed="false">
      <c r="A32" s="5" t="s">
        <v>318</v>
      </c>
      <c r="B32" s="24" t="n">
        <f aca="false">Inputs!$C$43*Inputs!$C$7</f>
        <v>0.15</v>
      </c>
      <c r="C32" s="24" t="n">
        <f aca="false">Inputs!$C$43*Inputs!$C$7</f>
        <v>0.15</v>
      </c>
      <c r="D32" s="24" t="n">
        <f aca="false">Inputs!$C$43*Inputs!$C$7</f>
        <v>0.15</v>
      </c>
      <c r="F32" s="10"/>
    </row>
    <row r="33" customFormat="false" ht="15" hidden="false" customHeight="false" outlineLevel="0" collapsed="false">
      <c r="A33" s="5" t="s">
        <v>319</v>
      </c>
      <c r="B33" s="24" t="n">
        <f aca="false">B27*Inputs!$C$44</f>
        <v>1.68675</v>
      </c>
      <c r="C33" s="24" t="n">
        <f aca="false">C27*Inputs!$C$44</f>
        <v>1.81675</v>
      </c>
      <c r="D33" s="24" t="n">
        <f aca="false">D27*Inputs!$C$44</f>
        <v>1.88175</v>
      </c>
      <c r="F33" s="10" t="s">
        <v>320</v>
      </c>
    </row>
    <row r="34" customFormat="false" ht="15" hidden="false" customHeight="false" outlineLevel="0" collapsed="false">
      <c r="A34" s="5" t="s">
        <v>321</v>
      </c>
      <c r="B34" s="24" t="n">
        <f aca="false">B27*Inputs!$C$45+Inputs!$C$46</f>
        <v>1.238</v>
      </c>
      <c r="C34" s="24" t="n">
        <f aca="false">C27*Inputs!$C$45+Inputs!$C$46</f>
        <v>1.318</v>
      </c>
      <c r="D34" s="24" t="n">
        <f aca="false">D27*Inputs!$C$45+Inputs!$C$46</f>
        <v>1.358</v>
      </c>
      <c r="F34" s="10" t="s">
        <v>322</v>
      </c>
    </row>
    <row r="35" customFormat="false" ht="15" hidden="false" customHeight="false" outlineLevel="0" collapsed="false">
      <c r="A35" s="5" t="s">
        <v>323</v>
      </c>
      <c r="B35" s="24" t="n">
        <f aca="false">(B32+B33+B34)*Inputs!$C$47</f>
        <v>0.61495</v>
      </c>
      <c r="C35" s="24" t="n">
        <f aca="false">(C32+C33+C34)*Inputs!$C$47</f>
        <v>0.65695</v>
      </c>
      <c r="D35" s="24" t="n">
        <f aca="false">(D32+D33+D34)*Inputs!$C$47</f>
        <v>0.67795</v>
      </c>
      <c r="F35" s="10" t="s">
        <v>324</v>
      </c>
    </row>
    <row r="36" customFormat="false" ht="15" hidden="false" customHeight="false" outlineLevel="0" collapsed="false">
      <c r="A36" s="5" t="s">
        <v>325</v>
      </c>
      <c r="B36" s="24" t="n">
        <f aca="false">B25*Inputs!$C$48</f>
        <v>1.1</v>
      </c>
      <c r="C36" s="24" t="n">
        <f aca="false">C25*Inputs!$C$48</f>
        <v>1.1</v>
      </c>
      <c r="D36" s="24" t="n">
        <f aca="false">D25*Inputs!$C$48</f>
        <v>1.1</v>
      </c>
      <c r="F36" s="10" t="s">
        <v>326</v>
      </c>
    </row>
    <row r="37" customFormat="false" ht="15" hidden="false" customHeight="false" outlineLevel="0" collapsed="false">
      <c r="A37" s="3" t="s">
        <v>327</v>
      </c>
      <c r="B37" s="26" t="n">
        <f aca="false">B29+B30+B31+B32+B33+B34+B35+B36</f>
        <v>17.9922</v>
      </c>
      <c r="C37" s="26" t="n">
        <f aca="false">C29+C30+C31+C32+C33+C34+C35+C36</f>
        <v>18.0281130434783</v>
      </c>
      <c r="D37" s="26" t="n">
        <f aca="false">D29+D30+D31+D32+D33+D34+D35+D36</f>
        <v>17.1227</v>
      </c>
      <c r="F37" s="10"/>
    </row>
    <row r="38" customFormat="false" ht="15" hidden="false" customHeight="false" outlineLevel="0" collapsed="false">
      <c r="A38" s="3" t="s">
        <v>328</v>
      </c>
      <c r="B38" s="26" t="n">
        <f aca="false">B27-B37</f>
        <v>7.9578</v>
      </c>
      <c r="C38" s="26" t="n">
        <f aca="false">C27-C37</f>
        <v>9.92188695652174</v>
      </c>
      <c r="D38" s="26" t="n">
        <f aca="false">D27-D37</f>
        <v>11.8273</v>
      </c>
      <c r="F38" s="10"/>
    </row>
    <row r="39" customFormat="false" ht="15" hidden="false" customHeight="false" outlineLevel="0" collapsed="false">
      <c r="A39" s="5" t="s">
        <v>329</v>
      </c>
      <c r="B39" s="28" t="n">
        <f aca="false">IF(B27=0,0,B38/B27)</f>
        <v>0.306658959537572</v>
      </c>
      <c r="C39" s="28" t="n">
        <f aca="false">IF(C27=0,0,C38/C27)</f>
        <v>0.354987010966788</v>
      </c>
      <c r="D39" s="28" t="n">
        <f aca="false">IF(D27=0,0,D38/D27)</f>
        <v>0.40854231433506</v>
      </c>
      <c r="F39" s="10"/>
    </row>
    <row r="40" customFormat="false" ht="22.35" hidden="false" customHeight="false" outlineLevel="0" collapsed="false">
      <c r="A40" s="5" t="s">
        <v>330</v>
      </c>
      <c r="B40" s="24" t="n">
        <f aca="false">B27-B29-B30-B31-(B27*Inputs!$C$24+Inputs!$C$27)-B36</f>
        <v>11.05825</v>
      </c>
      <c r="C40" s="24" t="n">
        <f aca="false">C27-C29-C30-C31-(C27*Inputs!$C$25+Inputs!$C$27)-C36</f>
        <v>12.4058369565217</v>
      </c>
      <c r="D40" s="24" t="n">
        <f aca="false">D27-D29-D30-D31-(D27*Inputs!$C$26+Inputs!$C$27)-D36</f>
        <v>14.204075</v>
      </c>
      <c r="F40" s="10" t="s">
        <v>331</v>
      </c>
    </row>
    <row r="42" customFormat="false" ht="15" hidden="false" customHeight="false" outlineLevel="0" collapsed="false">
      <c r="A42" s="14" t="s">
        <v>334</v>
      </c>
      <c r="B42" s="15"/>
      <c r="C42" s="15"/>
      <c r="D42" s="15"/>
      <c r="F42" s="15"/>
    </row>
    <row r="43" customFormat="false" ht="30" hidden="false" customHeight="true" outlineLevel="0" collapsed="false">
      <c r="A43" s="8" t="s">
        <v>301</v>
      </c>
      <c r="B43" s="8" t="s">
        <v>302</v>
      </c>
      <c r="C43" s="8" t="s">
        <v>303</v>
      </c>
      <c r="D43" s="8" t="s">
        <v>304</v>
      </c>
      <c r="E43" s="8"/>
      <c r="F43" s="8" t="s">
        <v>63</v>
      </c>
    </row>
    <row r="44" customFormat="false" ht="15" hidden="false" customHeight="false" outlineLevel="0" collapsed="false">
      <c r="A44" s="5" t="s">
        <v>305</v>
      </c>
      <c r="B44" s="20" t="n">
        <v>22</v>
      </c>
      <c r="C44" s="20" t="n">
        <v>22</v>
      </c>
      <c r="D44" s="20" t="n">
        <v>22</v>
      </c>
      <c r="F44" s="10" t="s">
        <v>306</v>
      </c>
    </row>
    <row r="45" customFormat="false" ht="15" hidden="false" customHeight="false" outlineLevel="0" collapsed="false">
      <c r="A45" s="5" t="s">
        <v>307</v>
      </c>
      <c r="B45" s="20" t="n">
        <v>3.95</v>
      </c>
      <c r="C45" s="20" t="n">
        <v>5.95</v>
      </c>
      <c r="D45" s="20" t="n">
        <v>6.95</v>
      </c>
      <c r="F45" s="10" t="s">
        <v>308</v>
      </c>
    </row>
    <row r="46" customFormat="false" ht="15" hidden="false" customHeight="false" outlineLevel="0" collapsed="false">
      <c r="A46" s="3" t="s">
        <v>309</v>
      </c>
      <c r="B46" s="26" t="n">
        <f aca="false">B44+B45</f>
        <v>25.95</v>
      </c>
      <c r="C46" s="26" t="n">
        <f aca="false">C44+C45</f>
        <v>27.95</v>
      </c>
      <c r="D46" s="26" t="n">
        <f aca="false">D44+D45</f>
        <v>28.95</v>
      </c>
      <c r="F46" s="10"/>
    </row>
    <row r="47" customFormat="false" ht="22.35" hidden="false" customHeight="false" outlineLevel="0" collapsed="false">
      <c r="A47" s="5" t="s">
        <v>310</v>
      </c>
      <c r="B47" s="22" t="n">
        <v>15</v>
      </c>
      <c r="C47" s="22" t="n">
        <v>15</v>
      </c>
      <c r="D47" s="22" t="n">
        <v>15</v>
      </c>
      <c r="F47" s="10" t="s">
        <v>335</v>
      </c>
    </row>
    <row r="48" customFormat="false" ht="15" hidden="false" customHeight="false" outlineLevel="0" collapsed="false">
      <c r="A48" s="5" t="s">
        <v>312</v>
      </c>
      <c r="B48" s="24" t="n">
        <f aca="false">B47*Inputs!$C$7</f>
        <v>11.25</v>
      </c>
      <c r="C48" s="24" t="n">
        <f aca="false">C47*Inputs!$C$7</f>
        <v>11.25</v>
      </c>
      <c r="D48" s="24" t="n">
        <f aca="false">D47*Inputs!$C$7</f>
        <v>11.25</v>
      </c>
      <c r="F48" s="10" t="s">
        <v>313</v>
      </c>
    </row>
    <row r="49" customFormat="false" ht="15" hidden="false" customHeight="false" outlineLevel="0" collapsed="false">
      <c r="A49" s="5" t="s">
        <v>314</v>
      </c>
      <c r="B49" s="20" t="n">
        <f aca="false">5.99*Inputs!$C$7</f>
        <v>4.4925</v>
      </c>
      <c r="C49" s="20" t="n">
        <f aca="false">5.99*Inputs!$C$7</f>
        <v>4.4925</v>
      </c>
      <c r="D49" s="20" t="n">
        <f aca="false">5.99*Inputs!$C$7</f>
        <v>4.4925</v>
      </c>
      <c r="F49" s="10" t="s">
        <v>315</v>
      </c>
    </row>
    <row r="50" customFormat="false" ht="15" hidden="false" customHeight="false" outlineLevel="0" collapsed="false">
      <c r="A50" s="5" t="s">
        <v>316</v>
      </c>
      <c r="B50" s="20" t="n">
        <v>0</v>
      </c>
      <c r="C50" s="20" t="n">
        <v>0</v>
      </c>
      <c r="D50" s="20" t="n">
        <v>0</v>
      </c>
      <c r="F50" s="10" t="s">
        <v>317</v>
      </c>
    </row>
    <row r="51" customFormat="false" ht="15" hidden="false" customHeight="false" outlineLevel="0" collapsed="false">
      <c r="A51" s="5" t="s">
        <v>318</v>
      </c>
      <c r="B51" s="24" t="n">
        <f aca="false">Inputs!$C$43*Inputs!$C$7</f>
        <v>0.15</v>
      </c>
      <c r="C51" s="24" t="n">
        <f aca="false">Inputs!$C$43*Inputs!$C$7</f>
        <v>0.15</v>
      </c>
      <c r="D51" s="24" t="n">
        <f aca="false">Inputs!$C$43*Inputs!$C$7</f>
        <v>0.15</v>
      </c>
      <c r="F51" s="10"/>
    </row>
    <row r="52" customFormat="false" ht="15" hidden="false" customHeight="false" outlineLevel="0" collapsed="false">
      <c r="A52" s="5" t="s">
        <v>319</v>
      </c>
      <c r="B52" s="24" t="n">
        <f aca="false">B46*Inputs!$C$44</f>
        <v>1.68675</v>
      </c>
      <c r="C52" s="24" t="n">
        <f aca="false">C46*Inputs!$C$44</f>
        <v>1.81675</v>
      </c>
      <c r="D52" s="24" t="n">
        <f aca="false">D46*Inputs!$C$44</f>
        <v>1.88175</v>
      </c>
      <c r="F52" s="10" t="s">
        <v>320</v>
      </c>
    </row>
    <row r="53" customFormat="false" ht="15" hidden="false" customHeight="false" outlineLevel="0" collapsed="false">
      <c r="A53" s="5" t="s">
        <v>321</v>
      </c>
      <c r="B53" s="24" t="n">
        <f aca="false">B46*Inputs!$C$45+Inputs!$C$46</f>
        <v>1.238</v>
      </c>
      <c r="C53" s="24" t="n">
        <f aca="false">C46*Inputs!$C$45+Inputs!$C$46</f>
        <v>1.318</v>
      </c>
      <c r="D53" s="24" t="n">
        <f aca="false">D46*Inputs!$C$45+Inputs!$C$46</f>
        <v>1.358</v>
      </c>
      <c r="F53" s="10" t="s">
        <v>322</v>
      </c>
    </row>
    <row r="54" customFormat="false" ht="15" hidden="false" customHeight="false" outlineLevel="0" collapsed="false">
      <c r="A54" s="5" t="s">
        <v>323</v>
      </c>
      <c r="B54" s="24" t="n">
        <f aca="false">(B51+B52+B53)*Inputs!$C$47</f>
        <v>0.61495</v>
      </c>
      <c r="C54" s="24" t="n">
        <f aca="false">(C51+C52+C53)*Inputs!$C$47</f>
        <v>0.65695</v>
      </c>
      <c r="D54" s="24" t="n">
        <f aca="false">(D51+D52+D53)*Inputs!$C$47</f>
        <v>0.67795</v>
      </c>
      <c r="F54" s="10" t="s">
        <v>324</v>
      </c>
    </row>
    <row r="55" customFormat="false" ht="15" hidden="false" customHeight="false" outlineLevel="0" collapsed="false">
      <c r="A55" s="5" t="s">
        <v>325</v>
      </c>
      <c r="B55" s="24" t="n">
        <f aca="false">B44*Inputs!$C$48</f>
        <v>1.1</v>
      </c>
      <c r="C55" s="24" t="n">
        <f aca="false">C44*Inputs!$C$48</f>
        <v>1.1</v>
      </c>
      <c r="D55" s="24" t="n">
        <f aca="false">D44*Inputs!$C$48</f>
        <v>1.1</v>
      </c>
      <c r="F55" s="10" t="s">
        <v>326</v>
      </c>
    </row>
    <row r="56" customFormat="false" ht="15" hidden="false" customHeight="false" outlineLevel="0" collapsed="false">
      <c r="A56" s="3" t="s">
        <v>327</v>
      </c>
      <c r="B56" s="26" t="n">
        <f aca="false">B48+B49+B50+B51+B52+B53+B54+B55</f>
        <v>20.5322</v>
      </c>
      <c r="C56" s="26" t="n">
        <f aca="false">C48+C49+C50+C51+C52+C53+C54+C55</f>
        <v>20.7842</v>
      </c>
      <c r="D56" s="26" t="n">
        <f aca="false">D48+D49+D50+D51+D52+D53+D54+D55</f>
        <v>20.9102</v>
      </c>
      <c r="F56" s="10"/>
    </row>
    <row r="57" customFormat="false" ht="15" hidden="false" customHeight="false" outlineLevel="0" collapsed="false">
      <c r="A57" s="3" t="s">
        <v>328</v>
      </c>
      <c r="B57" s="26" t="n">
        <f aca="false">B46-B56</f>
        <v>5.4178</v>
      </c>
      <c r="C57" s="26" t="n">
        <f aca="false">C46-C56</f>
        <v>7.16579999999999</v>
      </c>
      <c r="D57" s="26" t="n">
        <f aca="false">D46-D56</f>
        <v>8.0398</v>
      </c>
      <c r="F57" s="10"/>
    </row>
    <row r="58" customFormat="false" ht="15" hidden="false" customHeight="false" outlineLevel="0" collapsed="false">
      <c r="A58" s="5" t="s">
        <v>329</v>
      </c>
      <c r="B58" s="28" t="n">
        <f aca="false">IF(B46=0,0,B57/B46)</f>
        <v>0.208778420038536</v>
      </c>
      <c r="C58" s="28" t="n">
        <f aca="false">IF(C46=0,0,C57/C46)</f>
        <v>0.256379248658318</v>
      </c>
      <c r="D58" s="28" t="n">
        <f aca="false">IF(D46=0,0,D57/D46)</f>
        <v>0.277713298791019</v>
      </c>
      <c r="F58" s="10"/>
    </row>
    <row r="59" customFormat="false" ht="22.35" hidden="false" customHeight="false" outlineLevel="0" collapsed="false">
      <c r="A59" s="5" t="s">
        <v>330</v>
      </c>
      <c r="B59" s="24" t="n">
        <f aca="false">B46-B48-B49-B50-(B46*Inputs!$C$24+Inputs!$C$27)-B55</f>
        <v>8.51825</v>
      </c>
      <c r="C59" s="24" t="n">
        <f aca="false">C46-C48-C49-C50-(C46*Inputs!$C$25+Inputs!$C$27)-C55</f>
        <v>9.64975</v>
      </c>
      <c r="D59" s="24" t="n">
        <f aca="false">D46-D48-D49-D50-(D46*Inputs!$C$26+Inputs!$C$27)-D55</f>
        <v>10.416575</v>
      </c>
      <c r="F59" s="10" t="s">
        <v>331</v>
      </c>
    </row>
    <row r="61" customFormat="false" ht="22.35" hidden="false" customHeight="false" outlineLevel="0" collapsed="false">
      <c r="A61" s="3" t="s">
        <v>336</v>
      </c>
      <c r="B61" s="9" t="n">
        <f aca="false">Inputs!$C$49</f>
        <v>45</v>
      </c>
      <c r="F61" s="10" t="s">
        <v>337</v>
      </c>
    </row>
    <row r="63" customFormat="false" ht="15" hidden="false" customHeight="false" outlineLevel="0" collapsed="false">
      <c r="A63" s="3" t="s">
        <v>338</v>
      </c>
    </row>
    <row r="64" customFormat="false" ht="15" hidden="false" customHeight="false" outlineLevel="0" collapsed="false">
      <c r="A64" s="5" t="s">
        <v>339</v>
      </c>
      <c r="B64" s="9" t="n">
        <f aca="false">Journals!$J$6</f>
        <v>10.1604666666667</v>
      </c>
    </row>
    <row r="65" customFormat="false" ht="15" hidden="false" customHeight="false" outlineLevel="0" collapsed="false">
      <c r="A65" s="5" t="s">
        <v>340</v>
      </c>
      <c r="B65" s="9" t="n">
        <f aca="false">Merch!$B$19</f>
        <v>13.3993</v>
      </c>
    </row>
    <row r="66" customFormat="false" ht="15" hidden="false" customHeight="false" outlineLevel="0" collapsed="false">
      <c r="A66" s="5" t="s">
        <v>341</v>
      </c>
      <c r="B66" s="9" t="n">
        <f aca="false">Merch!$B$38</f>
        <v>7.9578</v>
      </c>
    </row>
    <row r="67" customFormat="false" ht="15" hidden="false" customHeight="false" outlineLevel="0" collapsed="false">
      <c r="A67" s="5" t="s">
        <v>342</v>
      </c>
      <c r="B67" s="9" t="n">
        <f aca="false">Merch!$B$57</f>
        <v>5.4178</v>
      </c>
    </row>
    <row r="69" customFormat="false" ht="30" hidden="false" customHeight="true" outlineLevel="0" collapsed="false">
      <c r="A69" s="30" t="s">
        <v>343</v>
      </c>
      <c r="B69" s="30"/>
      <c r="C69" s="30"/>
      <c r="D69" s="30"/>
      <c r="E69" s="30"/>
      <c r="F69" s="30"/>
    </row>
    <row r="70" customFormat="false" ht="15" hidden="false" customHeight="false" outlineLevel="0" collapsed="false">
      <c r="A70" s="30"/>
      <c r="B70" s="30"/>
      <c r="C70" s="30"/>
      <c r="D70" s="30"/>
      <c r="E70" s="30"/>
      <c r="F70" s="30"/>
    </row>
    <row r="71" customFormat="false" ht="15" hidden="false" customHeight="false" outlineLevel="0" collapsed="false">
      <c r="A71" s="30"/>
      <c r="B71" s="30"/>
      <c r="C71" s="30"/>
      <c r="D71" s="30"/>
      <c r="E71" s="30"/>
      <c r="F71" s="30"/>
    </row>
  </sheetData>
  <mergeCells count="1">
    <mergeCell ref="A69:F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4" min="2" style="0" width="15"/>
    <col collapsed="false" customWidth="true" hidden="false" outlineLevel="0" max="5" min="5" style="0" width="70"/>
  </cols>
  <sheetData>
    <row r="1" customFormat="false" ht="17.35" hidden="false" customHeight="false" outlineLevel="0" collapsed="false">
      <c r="A1" s="1" t="s">
        <v>344</v>
      </c>
    </row>
    <row r="2" customFormat="false" ht="15" hidden="false" customHeight="false" outlineLevel="0" collapsed="false">
      <c r="A2" s="2" t="s">
        <v>345</v>
      </c>
    </row>
    <row r="4" customFormat="false" ht="30" hidden="false" customHeight="true" outlineLevel="0" collapsed="false">
      <c r="A4" s="8" t="s">
        <v>346</v>
      </c>
      <c r="B4" s="8" t="s">
        <v>8</v>
      </c>
      <c r="C4" s="8" t="s">
        <v>9</v>
      </c>
      <c r="D4" s="8" t="s">
        <v>10</v>
      </c>
      <c r="E4" s="8" t="s">
        <v>347</v>
      </c>
    </row>
    <row r="5" customFormat="false" ht="15" hidden="false" customHeight="false" outlineLevel="0" collapsed="false">
      <c r="A5" s="5" t="s">
        <v>348</v>
      </c>
      <c r="B5" s="17" t="n">
        <v>30</v>
      </c>
      <c r="C5" s="17" t="n">
        <v>30</v>
      </c>
      <c r="D5" s="17" t="n">
        <v>30</v>
      </c>
      <c r="E5" s="10" t="s">
        <v>349</v>
      </c>
    </row>
    <row r="6" customFormat="false" ht="22.35" hidden="false" customHeight="false" outlineLevel="0" collapsed="false">
      <c r="A6" s="5" t="s">
        <v>350</v>
      </c>
      <c r="B6" s="13" t="n">
        <f aca="false">Inputs!$C$12</f>
        <v>130</v>
      </c>
      <c r="C6" s="17" t="n">
        <v>400</v>
      </c>
      <c r="D6" s="17" t="n">
        <v>1000</v>
      </c>
      <c r="E6" s="10" t="s">
        <v>351</v>
      </c>
    </row>
    <row r="7" customFormat="false" ht="15" hidden="false" customHeight="false" outlineLevel="0" collapsed="false">
      <c r="A7" s="5" t="s">
        <v>352</v>
      </c>
      <c r="B7" s="31" t="n">
        <v>2</v>
      </c>
      <c r="C7" s="31" t="n">
        <v>4</v>
      </c>
      <c r="D7" s="31" t="n">
        <v>8</v>
      </c>
      <c r="E7" s="10" t="s">
        <v>353</v>
      </c>
    </row>
    <row r="8" customFormat="false" ht="15" hidden="false" customHeight="false" outlineLevel="0" collapsed="false">
      <c r="A8" s="5" t="s">
        <v>354</v>
      </c>
      <c r="B8" s="18" t="n">
        <v>0.2</v>
      </c>
      <c r="C8" s="18" t="n">
        <v>0.3</v>
      </c>
      <c r="D8" s="18" t="n">
        <v>0.4</v>
      </c>
      <c r="E8" s="10" t="s">
        <v>355</v>
      </c>
    </row>
    <row r="9" customFormat="false" ht="15" hidden="false" customHeight="false" outlineLevel="0" collapsed="false">
      <c r="A9" s="5" t="s">
        <v>356</v>
      </c>
      <c r="B9" s="18" t="n">
        <v>0.01</v>
      </c>
      <c r="C9" s="18" t="n">
        <v>0.02</v>
      </c>
      <c r="D9" s="18" t="n">
        <v>0.04</v>
      </c>
      <c r="E9" s="10" t="s">
        <v>357</v>
      </c>
    </row>
    <row r="10" customFormat="false" ht="15" hidden="false" customHeight="false" outlineLevel="0" collapsed="false">
      <c r="A10" s="5" t="s">
        <v>358</v>
      </c>
      <c r="B10" s="18" t="n">
        <v>0.005</v>
      </c>
      <c r="C10" s="18" t="n">
        <v>0.01</v>
      </c>
      <c r="D10" s="18" t="n">
        <v>0.02</v>
      </c>
      <c r="E10" s="10" t="s">
        <v>355</v>
      </c>
    </row>
    <row r="11" customFormat="false" ht="15" hidden="false" customHeight="false" outlineLevel="0" collapsed="false">
      <c r="A11" s="5" t="s">
        <v>359</v>
      </c>
      <c r="B11" s="31" t="n">
        <v>0.5</v>
      </c>
      <c r="C11" s="31" t="n">
        <v>1</v>
      </c>
      <c r="D11" s="31" t="n">
        <v>2</v>
      </c>
      <c r="E11" s="10" t="s">
        <v>360</v>
      </c>
    </row>
    <row r="13" customFormat="false" ht="15" hidden="false" customHeight="false" outlineLevel="0" collapsed="false">
      <c r="A13" s="14" t="s">
        <v>361</v>
      </c>
      <c r="B13" s="15"/>
      <c r="C13" s="15"/>
      <c r="D13" s="15"/>
      <c r="E13" s="15"/>
    </row>
    <row r="14" customFormat="false" ht="15" hidden="false" customHeight="false" outlineLevel="0" collapsed="false">
      <c r="A14" s="5" t="s">
        <v>362</v>
      </c>
      <c r="B14" s="32" t="n">
        <f aca="false">B5*B6</f>
        <v>3900</v>
      </c>
      <c r="C14" s="32" t="n">
        <f aca="false">C5*C6</f>
        <v>12000</v>
      </c>
      <c r="D14" s="32" t="n">
        <f aca="false">D5*D6</f>
        <v>30000</v>
      </c>
    </row>
    <row r="15" customFormat="false" ht="15" hidden="false" customHeight="false" outlineLevel="0" collapsed="false">
      <c r="A15" s="5" t="s">
        <v>363</v>
      </c>
      <c r="B15" s="33" t="n">
        <f aca="false">B14/1000*B7</f>
        <v>7.8</v>
      </c>
      <c r="C15" s="33" t="n">
        <f aca="false">C14/1000*C7</f>
        <v>48</v>
      </c>
      <c r="D15" s="33" t="n">
        <f aca="false">D14/1000*D7</f>
        <v>240</v>
      </c>
    </row>
    <row r="16" customFormat="false" ht="15" hidden="false" customHeight="false" outlineLevel="0" collapsed="false">
      <c r="A16" s="5" t="s">
        <v>364</v>
      </c>
      <c r="B16" s="33" t="n">
        <f aca="false">B15*B8</f>
        <v>1.56</v>
      </c>
      <c r="C16" s="33" t="n">
        <f aca="false">C15*C8</f>
        <v>14.4</v>
      </c>
      <c r="D16" s="33" t="n">
        <f aca="false">D15*D8</f>
        <v>96</v>
      </c>
    </row>
    <row r="17" customFormat="false" ht="15" hidden="false" customHeight="false" outlineLevel="0" collapsed="false">
      <c r="A17" s="5" t="s">
        <v>365</v>
      </c>
      <c r="B17" s="33" t="n">
        <f aca="false">B16*B9+B15*B10</f>
        <v>0.0546</v>
      </c>
      <c r="C17" s="33" t="n">
        <f aca="false">C16*C9+C15*C10</f>
        <v>0.768</v>
      </c>
      <c r="D17" s="33" t="n">
        <f aca="false">D16*D9+D15*D10</f>
        <v>8.64</v>
      </c>
    </row>
    <row r="18" customFormat="false" ht="15" hidden="false" customHeight="false" outlineLevel="0" collapsed="false">
      <c r="A18" s="5" t="s">
        <v>366</v>
      </c>
      <c r="B18" s="24" t="n">
        <f aca="false">B17*Journals!$B$6</f>
        <v>0.7644</v>
      </c>
      <c r="C18" s="24" t="n">
        <f aca="false">C17*Journals!$B$6</f>
        <v>10.752</v>
      </c>
      <c r="D18" s="24" t="n">
        <f aca="false">D17*Journals!$B$6</f>
        <v>120.96</v>
      </c>
    </row>
    <row r="19" customFormat="false" ht="15" hidden="false" customHeight="false" outlineLevel="0" collapsed="false">
      <c r="A19" s="5" t="s">
        <v>367</v>
      </c>
      <c r="B19" s="24" t="n">
        <f aca="false">B17*Journals!$J$6</f>
        <v>0.55476148</v>
      </c>
      <c r="C19" s="24" t="n">
        <f aca="false">C17*Journals!$J$6</f>
        <v>7.8032384</v>
      </c>
      <c r="D19" s="24" t="n">
        <f aca="false">D17*Journals!$J$6</f>
        <v>87.786432</v>
      </c>
    </row>
    <row r="20" customFormat="false" ht="15" hidden="false" customHeight="false" outlineLevel="0" collapsed="false">
      <c r="A20" s="5" t="s">
        <v>368</v>
      </c>
      <c r="B20" s="24" t="n">
        <f aca="false">B14/1000*B11*Inputs!$C$53*Inputs!$C$52*Inputs!$C$51</f>
        <v>0.117</v>
      </c>
      <c r="C20" s="24" t="n">
        <f aca="false">C14/1000*C11*Inputs!$C$53*Inputs!$C$52*Inputs!$C$51</f>
        <v>0.72</v>
      </c>
      <c r="D20" s="24" t="n">
        <f aca="false">D14/1000*D11*Inputs!$C$53*Inputs!$C$52*Inputs!$C$51</f>
        <v>3.6</v>
      </c>
    </row>
    <row r="21" customFormat="false" ht="15" hidden="false" customHeight="false" outlineLevel="0" collapsed="false">
      <c r="A21" s="5" t="s">
        <v>369</v>
      </c>
      <c r="B21" s="24" t="n">
        <f aca="false">B19+B20</f>
        <v>0.67176148</v>
      </c>
      <c r="C21" s="24" t="n">
        <f aca="false">C19+C20</f>
        <v>8.5232384</v>
      </c>
      <c r="D21" s="24" t="n">
        <f aca="false">D19+D20</f>
        <v>91.386432</v>
      </c>
    </row>
    <row r="22" customFormat="false" ht="15" hidden="false" customHeight="false" outlineLevel="0" collapsed="false">
      <c r="A22" s="5" t="s">
        <v>370</v>
      </c>
      <c r="B22" s="24" t="n">
        <f aca="false">'Fixed costs'!$D$17</f>
        <v>28.2246376811594</v>
      </c>
      <c r="C22" s="24" t="n">
        <f aca="false">'Fixed costs'!$D$17</f>
        <v>28.2246376811594</v>
      </c>
      <c r="D22" s="24" t="n">
        <f aca="false">'Fixed costs'!$D$17</f>
        <v>28.2246376811594</v>
      </c>
    </row>
    <row r="23" customFormat="false" ht="15" hidden="false" customHeight="false" outlineLevel="0" collapsed="false">
      <c r="A23" s="3" t="s">
        <v>371</v>
      </c>
      <c r="B23" s="26" t="n">
        <f aca="false">B21-B22</f>
        <v>-27.5528762011594</v>
      </c>
      <c r="C23" s="26" t="n">
        <f aca="false">C21-C22</f>
        <v>-19.7013992811594</v>
      </c>
      <c r="D23" s="26" t="n">
        <f aca="false">D21-D22</f>
        <v>63.1617943188406</v>
      </c>
    </row>
    <row r="24" customFormat="false" ht="15" hidden="false" customHeight="false" outlineLevel="0" collapsed="false">
      <c r="A24" s="5" t="s">
        <v>372</v>
      </c>
      <c r="B24" s="25" t="n">
        <f aca="false">B23*Inputs!$C$6</f>
        <v>-31.6858076313333</v>
      </c>
      <c r="C24" s="25" t="n">
        <f aca="false">C23*Inputs!$C$6</f>
        <v>-22.6566091733333</v>
      </c>
      <c r="D24" s="25" t="n">
        <f aca="false">D23*Inputs!$C$6</f>
        <v>72.6360634666667</v>
      </c>
    </row>
    <row r="25" customFormat="false" ht="15" hidden="false" customHeight="false" outlineLevel="0" collapsed="false">
      <c r="A25" s="3" t="s">
        <v>373</v>
      </c>
      <c r="B25" s="26" t="n">
        <f aca="false">IF(B14=0,0,(B18+B20)/B14*1000)</f>
        <v>0.226</v>
      </c>
      <c r="C25" s="26" t="n">
        <f aca="false">IF(C14=0,0,(C18+C20)/C14*1000)</f>
        <v>0.956</v>
      </c>
      <c r="D25" s="26" t="n">
        <f aca="false">IF(D14=0,0,(D18+D20)/D14*1000)</f>
        <v>4.152</v>
      </c>
    </row>
    <row r="26" customFormat="false" ht="15" hidden="false" customHeight="false" outlineLevel="0" collapsed="false">
      <c r="A26" s="5" t="s">
        <v>374</v>
      </c>
      <c r="B26" s="24" t="n">
        <f aca="false">IF(B14=0,0,B21/B14*1000)</f>
        <v>0.172246533333333</v>
      </c>
      <c r="C26" s="24" t="n">
        <f aca="false">IF(C14=0,0,C21/C14*1000)</f>
        <v>0.710269866666667</v>
      </c>
      <c r="D26" s="24" t="n">
        <f aca="false">IF(D14=0,0,D21/D14*1000)</f>
        <v>3.0462144</v>
      </c>
    </row>
    <row r="27" customFormat="false" ht="15" hidden="false" customHeight="false" outlineLevel="0" collapsed="false">
      <c r="A27" s="5" t="s">
        <v>375</v>
      </c>
      <c r="B27" s="24" t="n">
        <f aca="false">B9*Journals!$J$6</f>
        <v>0.101604666666667</v>
      </c>
      <c r="C27" s="24" t="n">
        <f aca="false">C9*Journals!$J$6</f>
        <v>0.203209333333333</v>
      </c>
      <c r="D27" s="24" t="n">
        <f aca="false">D9*Journals!$J$6</f>
        <v>0.406418666666667</v>
      </c>
    </row>
    <row r="28" customFormat="false" ht="15" hidden="false" customHeight="false" outlineLevel="0" collapsed="false">
      <c r="A28" s="3" t="s">
        <v>376</v>
      </c>
      <c r="B28" s="29" t="n">
        <f aca="false">IF(B26=0,0,B22/B26*1000)</f>
        <v>163861.862035498</v>
      </c>
      <c r="C28" s="29" t="n">
        <f aca="false">IF(C26=0,0,C22/C26*1000)</f>
        <v>39737.9066827361</v>
      </c>
      <c r="D28" s="29" t="n">
        <f aca="false">IF(D26=0,0,D22/D26*1000)</f>
        <v>9265.47969872358</v>
      </c>
    </row>
    <row r="29" customFormat="false" ht="15" hidden="false" customHeight="false" outlineLevel="0" collapsed="false">
      <c r="A29" s="5" t="s">
        <v>377</v>
      </c>
      <c r="B29" s="33" t="n">
        <f aca="false">IF(Journals!$J$6=0,0,B22/Journals!$J$6)</f>
        <v>2.77788792652169</v>
      </c>
      <c r="C29" s="33" t="n">
        <f aca="false">IF(Journals!$J$6=0,0,C22/Journals!$J$6)</f>
        <v>2.77788792652169</v>
      </c>
      <c r="D29" s="33" t="n">
        <f aca="false">IF(Journals!$J$6=0,0,D22/Journals!$J$6)</f>
        <v>2.77788792652169</v>
      </c>
    </row>
    <row r="31" customFormat="false" ht="15" hidden="false" customHeight="false" outlineLevel="0" collapsed="false">
      <c r="A31" s="3" t="s">
        <v>378</v>
      </c>
      <c r="B31" s="20" t="n">
        <v>0</v>
      </c>
      <c r="E31" s="10" t="s">
        <v>379</v>
      </c>
    </row>
    <row r="33" customFormat="false" ht="15" hidden="false" customHeight="false" outlineLevel="0" collapsed="false">
      <c r="A33" s="3" t="s">
        <v>380</v>
      </c>
    </row>
    <row r="34" customFormat="false" ht="30" hidden="false" customHeight="true" outlineLevel="0" collapsed="false">
      <c r="A34" s="8" t="s">
        <v>381</v>
      </c>
      <c r="B34" s="8" t="s">
        <v>8</v>
      </c>
      <c r="C34" s="8" t="s">
        <v>9</v>
      </c>
      <c r="D34" s="8" t="s">
        <v>10</v>
      </c>
      <c r="E34" s="8" t="s">
        <v>11</v>
      </c>
    </row>
    <row r="35" customFormat="false" ht="15" hidden="false" customHeight="false" outlineLevel="0" collapsed="false">
      <c r="A35" s="5" t="s">
        <v>382</v>
      </c>
      <c r="B35" s="33" t="n">
        <f aca="false">(IF(1&gt;=Inputs!$C$76,Inputs!$C$10+(B14-Inputs!$C$10)/3,0)+IF(2&gt;=Inputs!$C$76,Inputs!$C$10+(B14-Inputs!$C$10)*2/3,0)+IF(3&gt;=Inputs!$C$76,B14,0))*(B7/1000*(B8*B9+B10))</f>
        <v>0.128058</v>
      </c>
      <c r="C35" s="33" t="n">
        <f aca="false">(IF(1&gt;=Inputs!$C$76,Inputs!$C$10+(C14-Inputs!$C$10)/3,0)+IF(2&gt;=Inputs!$C$76,Inputs!$C$10+(C14-Inputs!$C$10)*2/3,0)+IF(3&gt;=Inputs!$C$76,C14,0))*(C7/1000*(C8*C9+C10))</f>
        <v>1.622208</v>
      </c>
      <c r="D35" s="33" t="n">
        <f aca="false">(IF(1&gt;=Inputs!$C$76,Inputs!$C$10+(D14-Inputs!$C$10)/3,0)+IF(2&gt;=Inputs!$C$76,Inputs!$C$10+(D14-Inputs!$C$10)*2/3,0)+IF(3&gt;=Inputs!$C$76,D14,0))*(D7/1000*(D8*D9+D10))</f>
        <v>17.667936</v>
      </c>
      <c r="E35" s="10" t="s">
        <v>383</v>
      </c>
    </row>
    <row r="36" customFormat="false" ht="15" hidden="false" customHeight="false" outlineLevel="0" collapsed="false">
      <c r="A36" s="5" t="s">
        <v>384</v>
      </c>
      <c r="B36" s="24" t="n">
        <f aca="false">B35*Journals!$B$6+(3*Inputs!$C$10+(B14-Inputs!$C$10)*2)/1000*B11*Inputs!$C$53*Inputs!$C$52*Inputs!$C$51</f>
        <v>2.067222</v>
      </c>
      <c r="C36" s="24" t="n">
        <f aca="false">C35*Journals!$B$6+(3*Inputs!$C$10+(C14-Inputs!$C$10)*2)/1000*C11*Inputs!$C$53*Inputs!$C$52*Inputs!$C$51</f>
        <v>24.231732</v>
      </c>
      <c r="D36" s="24" t="n">
        <f aca="false">D35*Journals!$B$6+(3*Inputs!$C$10+(D14-Inputs!$C$10)*2)/1000*D11*Inputs!$C$53*Inputs!$C$52*Inputs!$C$51</f>
        <v>254.712744</v>
      </c>
    </row>
    <row r="37" customFormat="false" ht="15" hidden="false" customHeight="false" outlineLevel="0" collapsed="false">
      <c r="A37" s="5" t="s">
        <v>385</v>
      </c>
      <c r="B37" s="24" t="n">
        <f aca="false">B35*Journals!$J$6+(3*Inputs!$C$10+(B14-Inputs!$C$10)*2)/1000*B11*Inputs!$C$53*Inputs!$C$52*Inputs!$C$51</f>
        <v>1.5755390404</v>
      </c>
      <c r="C37" s="24" t="n">
        <f aca="false">C35*Journals!$J$6+(3*Inputs!$C$10+(C14-Inputs!$C$10)*2)/1000*C11*Inputs!$C$53*Inputs!$C$52*Inputs!$C$51</f>
        <v>18.0032103104</v>
      </c>
      <c r="D37" s="24" t="n">
        <f aca="false">D35*Journals!$J$6+(3*Inputs!$C$10+(D14-Inputs!$C$10)*2)/1000*D11*Inputs!$C$53*Inputs!$C$52*Inputs!$C$51</f>
        <v>186.8761147968</v>
      </c>
    </row>
    <row r="38" customFormat="false" ht="15" hidden="false" customHeight="false" outlineLevel="0" collapsed="false">
      <c r="A38" s="5" t="s">
        <v>386</v>
      </c>
      <c r="B38" s="24" t="n">
        <f aca="false">3*'Fixed costs'!$D$17</f>
        <v>84.6739130434783</v>
      </c>
      <c r="C38" s="24" t="n">
        <f aca="false">3*'Fixed costs'!$D$17</f>
        <v>84.6739130434783</v>
      </c>
      <c r="D38" s="24" t="n">
        <f aca="false">3*'Fixed costs'!$D$17</f>
        <v>84.6739130434783</v>
      </c>
    </row>
    <row r="39" customFormat="false" ht="15" hidden="false" customHeight="false" outlineLevel="0" collapsed="false">
      <c r="A39" s="3" t="s">
        <v>387</v>
      </c>
      <c r="B39" s="26" t="n">
        <f aca="false">B37-B38</f>
        <v>-83.0983740030783</v>
      </c>
      <c r="C39" s="26" t="n">
        <f aca="false">C37-C38</f>
        <v>-66.6707027330783</v>
      </c>
      <c r="D39" s="26" t="n">
        <f aca="false">D37-D38</f>
        <v>102.202201753322</v>
      </c>
    </row>
    <row r="40" customFormat="false" ht="15" hidden="false" customHeight="false" outlineLevel="0" collapsed="false">
      <c r="A40" s="5" t="s">
        <v>388</v>
      </c>
      <c r="B40" s="25" t="n">
        <f aca="false">B39*Inputs!$C$6</f>
        <v>-95.56313010354</v>
      </c>
      <c r="C40" s="25" t="n">
        <f aca="false">C39*Inputs!$C$6</f>
        <v>-76.67130814304</v>
      </c>
      <c r="D40" s="25" t="n">
        <f aca="false">D39*Inputs!$C$6</f>
        <v>117.53253201632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4"/>
    <col collapsed="false" customWidth="true" hidden="false" outlineLevel="0" max="5" min="5" style="0" width="15"/>
    <col collapsed="false" customWidth="true" hidden="false" outlineLevel="0" max="6" min="6" style="0" width="60"/>
  </cols>
  <sheetData>
    <row r="1" customFormat="false" ht="17.35" hidden="false" customHeight="false" outlineLevel="0" collapsed="false">
      <c r="A1" s="1" t="s">
        <v>389</v>
      </c>
    </row>
    <row r="2" customFormat="false" ht="15" hidden="false" customHeight="false" outlineLevel="0" collapsed="false">
      <c r="A2" s="2" t="s">
        <v>390</v>
      </c>
    </row>
    <row r="3" customFormat="false" ht="15" hidden="false" customHeight="false" outlineLevel="0" collapsed="false">
      <c r="A3" s="3" t="s">
        <v>391</v>
      </c>
      <c r="B3" s="34" t="n">
        <v>2</v>
      </c>
    </row>
    <row r="5" customFormat="false" ht="30" hidden="false" customHeight="true" outlineLevel="0" collapsed="false">
      <c r="A5" s="8" t="s">
        <v>392</v>
      </c>
      <c r="B5" s="8" t="s">
        <v>393</v>
      </c>
      <c r="C5" s="8" t="s">
        <v>394</v>
      </c>
      <c r="D5" s="8" t="s">
        <v>395</v>
      </c>
      <c r="E5" s="8" t="s">
        <v>396</v>
      </c>
      <c r="F5" s="8" t="s">
        <v>11</v>
      </c>
    </row>
    <row r="6" customFormat="false" ht="75" hidden="false" customHeight="true" outlineLevel="0" collapsed="false">
      <c r="A6" s="5" t="s">
        <v>397</v>
      </c>
      <c r="B6" s="10" t="s">
        <v>398</v>
      </c>
      <c r="C6" s="10" t="s">
        <v>399</v>
      </c>
      <c r="D6" s="10" t="s">
        <v>400</v>
      </c>
    </row>
    <row r="7" customFormat="false" ht="15" hidden="false" customHeight="false" outlineLevel="0" collapsed="false">
      <c r="A7" s="5" t="s">
        <v>401</v>
      </c>
      <c r="B7" s="32" t="n">
        <v>1</v>
      </c>
      <c r="C7" s="32" t="n">
        <v>2</v>
      </c>
      <c r="D7" s="32" t="n">
        <v>3</v>
      </c>
      <c r="F7" s="10"/>
    </row>
    <row r="8" customFormat="false" ht="15" hidden="false" customHeight="false" outlineLevel="0" collapsed="false">
      <c r="A8" s="5" t="s">
        <v>402</v>
      </c>
      <c r="B8" s="32" t="n">
        <f aca="false">IF(B7&gt;=Inputs!$C$76,1,0)</f>
        <v>1</v>
      </c>
      <c r="C8" s="32" t="n">
        <f aca="false">IF(C7&gt;=Inputs!$C$76,1,0)</f>
        <v>1</v>
      </c>
      <c r="D8" s="32" t="n">
        <f aca="false">IF(D7&gt;=Inputs!$C$76,1,0)</f>
        <v>1</v>
      </c>
      <c r="F8" s="10" t="s">
        <v>403</v>
      </c>
    </row>
    <row r="9" customFormat="false" ht="22.35" hidden="false" customHeight="false" outlineLevel="0" collapsed="false">
      <c r="A9" s="5" t="s">
        <v>362</v>
      </c>
      <c r="B9" s="32" t="n">
        <f aca="false">Inputs!$C$10+(INDEX(Scenarios!$B$14:$D$14,'90-day P&amp;L'!$B$3)-Inputs!$C$10)*B7/3</f>
        <v>4898</v>
      </c>
      <c r="C9" s="32" t="n">
        <f aca="false">Inputs!$C$10+(INDEX(Scenarios!$B$14:$D$14,'90-day P&amp;L'!$B$3)-Inputs!$C$10)*C7/3</f>
        <v>8449</v>
      </c>
      <c r="D9" s="32" t="n">
        <f aca="false">Inputs!$C$10+(INDEX(Scenarios!$B$14:$D$14,'90-day P&amp;L'!$B$3)-Inputs!$C$10)*D7/3</f>
        <v>12000</v>
      </c>
      <c r="E9" s="29" t="n">
        <f aca="false">SUM(B9:D9)</f>
        <v>25347</v>
      </c>
      <c r="F9" s="10" t="s">
        <v>404</v>
      </c>
    </row>
    <row r="10" customFormat="false" ht="15" hidden="false" customHeight="false" outlineLevel="0" collapsed="false">
      <c r="A10" s="5" t="s">
        <v>363</v>
      </c>
      <c r="B10" s="33" t="n">
        <f aca="false">B9/1000*INDEX(Scenarios!$B$7:$D$7,'90-day P&amp;L'!$B$3)</f>
        <v>19.592</v>
      </c>
      <c r="C10" s="33" t="n">
        <f aca="false">C9/1000*INDEX(Scenarios!$B$7:$D$7,'90-day P&amp;L'!$B$3)</f>
        <v>33.796</v>
      </c>
      <c r="D10" s="33" t="n">
        <f aca="false">D9/1000*INDEX(Scenarios!$B$7:$D$7,'90-day P&amp;L'!$B$3)</f>
        <v>48</v>
      </c>
      <c r="E10" s="35" t="n">
        <f aca="false">SUM(B10:D10)</f>
        <v>101.388</v>
      </c>
      <c r="F10" s="10"/>
    </row>
    <row r="11" customFormat="false" ht="15" hidden="false" customHeight="false" outlineLevel="0" collapsed="false">
      <c r="A11" s="5" t="s">
        <v>364</v>
      </c>
      <c r="B11" s="33" t="n">
        <f aca="false">B10*INDEX(Scenarios!$B$8:$D$8,'90-day P&amp;L'!$B$3)</f>
        <v>5.8776</v>
      </c>
      <c r="C11" s="33" t="n">
        <f aca="false">C10*INDEX(Scenarios!$B$8:$D$8,'90-day P&amp;L'!$B$3)</f>
        <v>10.1388</v>
      </c>
      <c r="D11" s="33" t="n">
        <f aca="false">D10*INDEX(Scenarios!$B$8:$D$8,'90-day P&amp;L'!$B$3)</f>
        <v>14.4</v>
      </c>
      <c r="E11" s="35" t="n">
        <f aca="false">SUM(B11:D11)</f>
        <v>30.4164</v>
      </c>
      <c r="F11" s="10"/>
    </row>
    <row r="12" customFormat="false" ht="15" hidden="false" customHeight="false" outlineLevel="0" collapsed="false">
      <c r="A12" s="5" t="s">
        <v>365</v>
      </c>
      <c r="B12" s="33" t="n">
        <f aca="false">(B11*INDEX(Scenarios!$B$9:$D$9,'90-day P&amp;L'!$B$3)+B10*INDEX(Scenarios!$B$10:$D$10,'90-day P&amp;L'!$B$3))*B8</f>
        <v>0.313472</v>
      </c>
      <c r="C12" s="33" t="n">
        <f aca="false">(C11*INDEX(Scenarios!$B$9:$D$9,'90-day P&amp;L'!$B$3)+C10*INDEX(Scenarios!$B$10:$D$10,'90-day P&amp;L'!$B$3))*C8</f>
        <v>0.540736</v>
      </c>
      <c r="D12" s="33" t="n">
        <f aca="false">(D11*INDEX(Scenarios!$B$9:$D$9,'90-day P&amp;L'!$B$3)+D10*INDEX(Scenarios!$B$10:$D$10,'90-day P&amp;L'!$B$3))*D8</f>
        <v>0.768</v>
      </c>
      <c r="E12" s="35" t="n">
        <f aca="false">SUM(B12:D12)</f>
        <v>1.622208</v>
      </c>
      <c r="F12" s="10"/>
    </row>
    <row r="13" customFormat="false" ht="15" hidden="false" customHeight="false" outlineLevel="0" collapsed="false">
      <c r="A13" s="5" t="s">
        <v>405</v>
      </c>
      <c r="B13" s="33" t="n">
        <f aca="false">B12+0</f>
        <v>0.313472</v>
      </c>
      <c r="C13" s="33" t="n">
        <f aca="false">C12+B13</f>
        <v>0.854208</v>
      </c>
      <c r="D13" s="33" t="n">
        <f aca="false">D12+C13</f>
        <v>1.622208</v>
      </c>
      <c r="E13" s="35" t="n">
        <f aca="false">D13</f>
        <v>1.622208</v>
      </c>
      <c r="F13" s="10"/>
    </row>
    <row r="14" customFormat="false" ht="15" hidden="false" customHeight="false" outlineLevel="0" collapsed="false">
      <c r="A14" s="5" t="s">
        <v>406</v>
      </c>
      <c r="B14" s="33" t="n">
        <f aca="false">IF(0&gt;=Inputs!$C$33,B12*0.3,0)</f>
        <v>0</v>
      </c>
      <c r="C14" s="33" t="n">
        <f aca="false">IF(B13&gt;=Inputs!$C$33,C12*0.3,0)</f>
        <v>0</v>
      </c>
      <c r="D14" s="33" t="n">
        <f aca="false">IF(C13&gt;=Inputs!$C$33,D12*0.3,0)</f>
        <v>0</v>
      </c>
      <c r="E14" s="35" t="n">
        <f aca="false">SUM(B14:D14)</f>
        <v>0</v>
      </c>
      <c r="F14" s="10" t="s">
        <v>407</v>
      </c>
    </row>
    <row r="15" customFormat="false" ht="15" hidden="false" customHeight="false" outlineLevel="0" collapsed="false">
      <c r="A15" s="14" t="s">
        <v>408</v>
      </c>
      <c r="B15" s="15"/>
      <c r="C15" s="15"/>
      <c r="D15" s="15"/>
      <c r="E15" s="15"/>
      <c r="F15" s="15"/>
    </row>
    <row r="16" customFormat="false" ht="15" hidden="false" customHeight="false" outlineLevel="0" collapsed="false">
      <c r="A16" s="5" t="s">
        <v>409</v>
      </c>
      <c r="B16" s="24" t="n">
        <f aca="false">B12*Journals!$B$6</f>
        <v>4.388608</v>
      </c>
      <c r="C16" s="24" t="n">
        <f aca="false">C12*Journals!$B$6</f>
        <v>7.570304</v>
      </c>
      <c r="D16" s="24" t="n">
        <f aca="false">D12*Journals!$B$6</f>
        <v>10.752</v>
      </c>
      <c r="E16" s="26" t="n">
        <f aca="false">SUM(B16:D16)</f>
        <v>22.710912</v>
      </c>
      <c r="F16" s="10"/>
    </row>
    <row r="17" customFormat="false" ht="15" hidden="false" customHeight="false" outlineLevel="0" collapsed="false">
      <c r="A17" s="5" t="s">
        <v>410</v>
      </c>
      <c r="B17" s="24" t="n">
        <f aca="false">B14*Journals!$B$9</f>
        <v>0</v>
      </c>
      <c r="C17" s="24" t="n">
        <f aca="false">C14*Journals!$B$9</f>
        <v>0</v>
      </c>
      <c r="D17" s="24" t="n">
        <f aca="false">D14*Journals!$B$9</f>
        <v>0</v>
      </c>
      <c r="E17" s="26" t="n">
        <f aca="false">SUM(B17:D17)</f>
        <v>0</v>
      </c>
      <c r="F17" s="10"/>
    </row>
    <row r="18" customFormat="false" ht="15" hidden="false" customHeight="false" outlineLevel="0" collapsed="false">
      <c r="A18" s="5" t="s">
        <v>368</v>
      </c>
      <c r="B18" s="24" t="n">
        <f aca="false">B9/1000*INDEX(Scenarios!$B$11:$D$11,'90-day P&amp;L'!$B$3)*Inputs!$C$53*Inputs!$C$52*Inputs!$C$51</f>
        <v>0.29388</v>
      </c>
      <c r="C18" s="24" t="n">
        <f aca="false">C9/1000*INDEX(Scenarios!$B$11:$D$11,'90-day P&amp;L'!$B$3)*Inputs!$C$53*Inputs!$C$52*Inputs!$C$51</f>
        <v>0.50694</v>
      </c>
      <c r="D18" s="24" t="n">
        <f aca="false">D9/1000*INDEX(Scenarios!$B$11:$D$11,'90-day P&amp;L'!$B$3)*Inputs!$C$53*Inputs!$C$52*Inputs!$C$51</f>
        <v>0.72</v>
      </c>
      <c r="E18" s="26" t="n">
        <f aca="false">SUM(B18:D18)</f>
        <v>1.52082</v>
      </c>
      <c r="F18" s="10"/>
    </row>
    <row r="19" customFormat="false" ht="15" hidden="false" customHeight="false" outlineLevel="0" collapsed="false">
      <c r="A19" s="5" t="s">
        <v>411</v>
      </c>
      <c r="B19" s="24" t="n">
        <f aca="false">0</f>
        <v>0</v>
      </c>
      <c r="C19" s="24" t="n">
        <f aca="false">0</f>
        <v>0</v>
      </c>
      <c r="D19" s="24" t="n">
        <f aca="false">0</f>
        <v>0</v>
      </c>
      <c r="E19" s="26" t="n">
        <f aca="false">SUM(B19:D19)</f>
        <v>0</v>
      </c>
      <c r="F19" s="10" t="s">
        <v>412</v>
      </c>
    </row>
    <row r="20" customFormat="false" ht="15" hidden="false" customHeight="false" outlineLevel="0" collapsed="false">
      <c r="A20" s="5" t="s">
        <v>413</v>
      </c>
      <c r="B20" s="24" t="n">
        <f aca="false">0</f>
        <v>0</v>
      </c>
      <c r="C20" s="24" t="n">
        <f aca="false">0</f>
        <v>0</v>
      </c>
      <c r="D20" s="24" t="n">
        <f aca="false">0</f>
        <v>0</v>
      </c>
      <c r="E20" s="26" t="n">
        <f aca="false">SUM(B20:D20)</f>
        <v>0</v>
      </c>
      <c r="F20" s="10" t="s">
        <v>414</v>
      </c>
    </row>
    <row r="21" customFormat="false" ht="15" hidden="false" customHeight="false" outlineLevel="0" collapsed="false">
      <c r="A21" s="3" t="s">
        <v>415</v>
      </c>
      <c r="B21" s="26" t="n">
        <f aca="false">SUM(B16:B20)</f>
        <v>4.682488</v>
      </c>
      <c r="C21" s="26" t="n">
        <f aca="false">SUM(C16:C20)</f>
        <v>8.077244</v>
      </c>
      <c r="D21" s="26" t="n">
        <f aca="false">SUM(D16:D20)</f>
        <v>11.472</v>
      </c>
      <c r="E21" s="26" t="n">
        <f aca="false">SUM(B21:D21)</f>
        <v>24.231732</v>
      </c>
      <c r="F21" s="10"/>
    </row>
    <row r="22" customFormat="false" ht="15" hidden="false" customHeight="false" outlineLevel="0" collapsed="false">
      <c r="A22" s="14" t="s">
        <v>416</v>
      </c>
      <c r="B22" s="15"/>
      <c r="C22" s="15"/>
      <c r="D22" s="15"/>
      <c r="E22" s="15"/>
      <c r="F22" s="15"/>
    </row>
    <row r="23" customFormat="false" ht="15" hidden="false" customHeight="false" outlineLevel="0" collapsed="false">
      <c r="A23" s="5" t="s">
        <v>417</v>
      </c>
      <c r="B23" s="24" t="n">
        <f aca="false">(B16+B17)*(1-1/(1+Inputs!$C$22))</f>
        <v>0.731434666666667</v>
      </c>
      <c r="C23" s="24" t="n">
        <f aca="false">(C16+C17)*(1-1/(1+Inputs!$C$22))</f>
        <v>1.26171733333333</v>
      </c>
      <c r="D23" s="24" t="n">
        <f aca="false">(D16+D17)*(1-1/(1+Inputs!$C$22))</f>
        <v>1.792</v>
      </c>
      <c r="E23" s="26" t="n">
        <f aca="false">SUM(B23:D23)</f>
        <v>3.785152</v>
      </c>
      <c r="F23" s="10" t="s">
        <v>418</v>
      </c>
    </row>
    <row r="24" customFormat="false" ht="15" hidden="false" customHeight="false" outlineLevel="0" collapsed="false">
      <c r="A24" s="5" t="s">
        <v>419</v>
      </c>
      <c r="B24" s="24" t="n">
        <f aca="false">(B16+B17)/(1+Inputs!$C$22)-(B12*(Journals!$J$6+Journals!$B$6*Inputs!$C$29)+B14*(Journals!$J$9+Journals!$B$9*Inputs!$C$29))</f>
        <v>0.3404932864</v>
      </c>
      <c r="C24" s="24" t="n">
        <f aca="false">(C16+C17)/(1+Inputs!$C$22)-(C12*(Journals!$J$6+Journals!$B$6*Inputs!$C$29)+C14*(Journals!$J$9+Journals!$B$9*Inputs!$C$29))</f>
        <v>0.5873474432</v>
      </c>
      <c r="D24" s="24" t="n">
        <f aca="false">(D16+D17)/(1+Inputs!$C$22)-(D12*(Journals!$J$6+Journals!$B$6*Inputs!$C$29)+D14*(Journals!$J$9+Journals!$B$9*Inputs!$C$29))</f>
        <v>0.8342016</v>
      </c>
      <c r="E24" s="26" t="n">
        <f aca="false">SUM(B24:D24)</f>
        <v>1.7620423296</v>
      </c>
      <c r="F24" s="10" t="s">
        <v>420</v>
      </c>
    </row>
    <row r="25" customFormat="false" ht="15" hidden="false" customHeight="false" outlineLevel="0" collapsed="false">
      <c r="A25" s="5" t="s">
        <v>421</v>
      </c>
      <c r="B25" s="24" t="n">
        <f aca="false">(B16+B17)*Inputs!$C$29</f>
        <v>0.13165824</v>
      </c>
      <c r="C25" s="24" t="n">
        <f aca="false">(C16+C17)*Inputs!$C$29</f>
        <v>0.22710912</v>
      </c>
      <c r="D25" s="24" t="n">
        <f aca="false">(D16+D17)*Inputs!$C$29</f>
        <v>0.32256</v>
      </c>
      <c r="E25" s="26" t="n">
        <f aca="false">SUM(B25:D25)</f>
        <v>0.68132736</v>
      </c>
      <c r="F25" s="10"/>
    </row>
    <row r="26" customFormat="false" ht="15" hidden="false" customHeight="false" outlineLevel="0" collapsed="false">
      <c r="A26" s="5" t="s">
        <v>422</v>
      </c>
      <c r="B26" s="24" t="n">
        <f aca="false">0</f>
        <v>0</v>
      </c>
      <c r="C26" s="24" t="n">
        <f aca="false">0</f>
        <v>0</v>
      </c>
      <c r="D26" s="24" t="n">
        <f aca="false">0</f>
        <v>0</v>
      </c>
      <c r="E26" s="26" t="n">
        <f aca="false">SUM(B26:D26)</f>
        <v>0</v>
      </c>
      <c r="F26" s="10" t="s">
        <v>423</v>
      </c>
    </row>
    <row r="27" customFormat="false" ht="15" hidden="false" customHeight="false" outlineLevel="0" collapsed="false">
      <c r="A27" s="3" t="s">
        <v>424</v>
      </c>
      <c r="B27" s="26" t="n">
        <f aca="false">B21-B23-B24-B25-B26</f>
        <v>3.47890180693333</v>
      </c>
      <c r="C27" s="26" t="n">
        <f aca="false">C21-C23-C24-C25-C26</f>
        <v>6.00107010346667</v>
      </c>
      <c r="D27" s="26" t="n">
        <f aca="false">D21-D23-D24-D25-D26</f>
        <v>8.5232384</v>
      </c>
      <c r="E27" s="26" t="n">
        <f aca="false">SUM(B27:D27)</f>
        <v>18.0032103104</v>
      </c>
      <c r="F27" s="10"/>
    </row>
    <row r="28" customFormat="false" ht="15" hidden="false" customHeight="false" outlineLevel="0" collapsed="false">
      <c r="A28" s="14" t="s">
        <v>425</v>
      </c>
      <c r="B28" s="15"/>
      <c r="C28" s="15"/>
      <c r="D28" s="15"/>
      <c r="E28" s="15"/>
      <c r="F28" s="15"/>
    </row>
    <row r="29" customFormat="false" ht="15" hidden="false" customHeight="false" outlineLevel="0" collapsed="false">
      <c r="A29" s="5" t="s">
        <v>426</v>
      </c>
      <c r="B29" s="24" t="n">
        <f aca="false">'Fixed costs'!$D$5*'Fixed costs'!$F$5</f>
        <v>17.3913043478261</v>
      </c>
      <c r="C29" s="24" t="n">
        <f aca="false">'Fixed costs'!$D$5*'Fixed costs'!$F$5</f>
        <v>17.3913043478261</v>
      </c>
      <c r="D29" s="24" t="n">
        <f aca="false">'Fixed costs'!$D$5*'Fixed costs'!$F$5</f>
        <v>17.3913043478261</v>
      </c>
      <c r="E29" s="26" t="n">
        <f aca="false">SUM(B29:D29)</f>
        <v>52.1739130434783</v>
      </c>
      <c r="F29" s="10"/>
    </row>
    <row r="30" customFormat="false" ht="15" hidden="false" customHeight="false" outlineLevel="0" collapsed="false">
      <c r="A30" s="5" t="s">
        <v>427</v>
      </c>
      <c r="B30" s="24" t="n">
        <f aca="false">'Fixed costs'!$D$17-B29</f>
        <v>10.8333333333333</v>
      </c>
      <c r="C30" s="24" t="n">
        <f aca="false">'Fixed costs'!$D$17-C29</f>
        <v>10.8333333333333</v>
      </c>
      <c r="D30" s="24" t="n">
        <f aca="false">'Fixed costs'!$D$17-D29</f>
        <v>10.8333333333333</v>
      </c>
      <c r="E30" s="26" t="n">
        <f aca="false">SUM(B30:D30)</f>
        <v>32.5</v>
      </c>
      <c r="F30" s="10" t="s">
        <v>428</v>
      </c>
    </row>
    <row r="31" customFormat="false" ht="15" hidden="false" customHeight="false" outlineLevel="0" collapsed="false">
      <c r="A31" s="5" t="s">
        <v>429</v>
      </c>
      <c r="B31" s="20" t="n">
        <v>0</v>
      </c>
      <c r="C31" s="20" t="n">
        <v>0</v>
      </c>
      <c r="D31" s="20" t="n">
        <v>0</v>
      </c>
      <c r="E31" s="26" t="n">
        <f aca="false">SUM(B31:D31)</f>
        <v>0</v>
      </c>
      <c r="F31" s="10" t="s">
        <v>430</v>
      </c>
    </row>
    <row r="32" customFormat="false" ht="15" hidden="false" customHeight="false" outlineLevel="0" collapsed="false">
      <c r="A32" s="5" t="s">
        <v>431</v>
      </c>
      <c r="B32" s="24" t="n">
        <f aca="false">B29+B30+B31</f>
        <v>28.2246376811594</v>
      </c>
      <c r="C32" s="24" t="n">
        <f aca="false">C29+C30+C31</f>
        <v>28.2246376811594</v>
      </c>
      <c r="D32" s="24" t="n">
        <f aca="false">D29+D30+D31</f>
        <v>28.2246376811594</v>
      </c>
      <c r="E32" s="26" t="n">
        <f aca="false">SUM(B32:D32)</f>
        <v>84.6739130434783</v>
      </c>
      <c r="F32" s="10"/>
    </row>
    <row r="33" customFormat="false" ht="15" hidden="false" customHeight="false" outlineLevel="0" collapsed="false">
      <c r="A33" s="3" t="s">
        <v>432</v>
      </c>
      <c r="B33" s="26" t="n">
        <f aca="false">B27-B32</f>
        <v>-24.7457358742261</v>
      </c>
      <c r="C33" s="26" t="n">
        <f aca="false">C27-C32</f>
        <v>-22.2235675776928</v>
      </c>
      <c r="D33" s="26" t="n">
        <f aca="false">D27-D32</f>
        <v>-19.7013992811594</v>
      </c>
      <c r="E33" s="26" t="n">
        <f aca="false">SUM(B33:D33)</f>
        <v>-66.6707027330783</v>
      </c>
      <c r="F33" s="10"/>
    </row>
    <row r="34" customFormat="false" ht="15" hidden="false" customHeight="false" outlineLevel="0" collapsed="false">
      <c r="A34" s="5" t="s">
        <v>388</v>
      </c>
      <c r="B34" s="25" t="n">
        <f aca="false">B33*Inputs!$C$6</f>
        <v>-28.45759625536</v>
      </c>
      <c r="C34" s="25" t="n">
        <f aca="false">C33*Inputs!$C$6</f>
        <v>-25.5571027143467</v>
      </c>
      <c r="D34" s="25" t="n">
        <f aca="false">D33*Inputs!$C$6</f>
        <v>-22.6566091733333</v>
      </c>
      <c r="E34" s="27" t="n">
        <f aca="false">SUM(B34:D34)</f>
        <v>-76.67130814304</v>
      </c>
      <c r="F34" s="10"/>
    </row>
    <row r="35" customFormat="false" ht="15" hidden="false" customHeight="false" outlineLevel="0" collapsed="false">
      <c r="A35" s="14" t="s">
        <v>433</v>
      </c>
      <c r="B35" s="15"/>
      <c r="C35" s="15"/>
      <c r="D35" s="15"/>
      <c r="E35" s="15"/>
      <c r="F35" s="15"/>
    </row>
    <row r="36" customFormat="false" ht="15" hidden="false" customHeight="false" outlineLevel="0" collapsed="false">
      <c r="A36" s="5" t="s">
        <v>434</v>
      </c>
      <c r="B36" s="24" t="n">
        <f aca="false">Inputs!$C$74</f>
        <v>0</v>
      </c>
      <c r="C36" s="24" t="n">
        <f aca="false">B40</f>
        <v>-34.7821279926261</v>
      </c>
      <c r="D36" s="24" t="n">
        <f aca="false">C40</f>
        <v>-56.8029043111188</v>
      </c>
      <c r="F36" s="10" t="s">
        <v>435</v>
      </c>
    </row>
    <row r="37" customFormat="false" ht="15" hidden="false" customHeight="false" outlineLevel="0" collapsed="false">
      <c r="A37" s="5" t="s">
        <v>436</v>
      </c>
      <c r="B37" s="24" t="n">
        <f aca="false">(B27+B26)*(1-Inputs!$C$75)+0*Inputs!$C$75</f>
        <v>2.6091763552</v>
      </c>
      <c r="C37" s="24" t="n">
        <f aca="false">(C27+C26)*(1-Inputs!$C$75)+(B27+B26)*Inputs!$C$75</f>
        <v>5.37052802933333</v>
      </c>
      <c r="D37" s="24" t="n">
        <f aca="false">(D27+D26)*(1-Inputs!$C$75)+(C27+C26)*Inputs!$C$75</f>
        <v>7.89269632586667</v>
      </c>
      <c r="E37" s="26" t="n">
        <f aca="false">SUM(B37:D37)</f>
        <v>15.8724007104</v>
      </c>
      <c r="F37" s="10"/>
    </row>
    <row r="38" customFormat="false" ht="15" hidden="false" customHeight="false" outlineLevel="0" collapsed="false">
      <c r="A38" s="5" t="s">
        <v>437</v>
      </c>
      <c r="B38" s="24" t="n">
        <f aca="false">B32-B30+B39</f>
        <v>37.3913043478261</v>
      </c>
      <c r="C38" s="24" t="n">
        <f aca="false">C32-C30+C39</f>
        <v>27.3913043478261</v>
      </c>
      <c r="D38" s="24" t="n">
        <f aca="false">D32-D30+D39</f>
        <v>27.3913043478261</v>
      </c>
      <c r="E38" s="26" t="n">
        <f aca="false">SUM(B38:D38)</f>
        <v>92.1739130434783</v>
      </c>
      <c r="F38" s="10"/>
    </row>
    <row r="39" customFormat="false" ht="15" hidden="false" customHeight="false" outlineLevel="0" collapsed="false">
      <c r="A39" s="5" t="s">
        <v>438</v>
      </c>
      <c r="B39" s="24" t="n">
        <f aca="false">B30-'Fixed costs'!$D$6*'Fixed costs'!$F$6+IF(B7=1,'Fixed costs'!$C$6*'Fixed costs'!$F$6,0)</f>
        <v>20</v>
      </c>
      <c r="C39" s="24" t="n">
        <f aca="false">C30-'Fixed costs'!$D$6*'Fixed costs'!$F$6+IF(C7=1,'Fixed costs'!$C$6*'Fixed costs'!$F$6,0)</f>
        <v>10</v>
      </c>
      <c r="D39" s="24" t="n">
        <f aca="false">D30-'Fixed costs'!$D$6*'Fixed costs'!$F$6+IF(D7=1,'Fixed costs'!$C$6*'Fixed costs'!$F$6,0)</f>
        <v>10</v>
      </c>
      <c r="E39" s="26" t="n">
        <f aca="false">SUM(B39:D39)</f>
        <v>40</v>
      </c>
      <c r="F39" s="10" t="s">
        <v>439</v>
      </c>
    </row>
    <row r="40" customFormat="false" ht="15" hidden="false" customHeight="false" outlineLevel="0" collapsed="false">
      <c r="A40" s="3" t="s">
        <v>440</v>
      </c>
      <c r="B40" s="26" t="n">
        <f aca="false">B36+B37-B38</f>
        <v>-34.7821279926261</v>
      </c>
      <c r="C40" s="26" t="n">
        <f aca="false">C36+C37-C38</f>
        <v>-56.8029043111188</v>
      </c>
      <c r="D40" s="26" t="n">
        <f aca="false">D36+D37-D38</f>
        <v>-76.3015123330783</v>
      </c>
      <c r="E40" s="26" t="n">
        <f aca="false">D40</f>
        <v>-76.3015123330783</v>
      </c>
      <c r="F40" s="10"/>
    </row>
    <row r="42" customFormat="false" ht="22.35" hidden="false" customHeight="false" outlineLevel="0" collapsed="false">
      <c r="A42" s="3" t="s">
        <v>441</v>
      </c>
      <c r="B42" s="26" t="n">
        <f aca="false">MIN(B40:D40)</f>
        <v>-76.3015123330783</v>
      </c>
      <c r="F42" s="10" t="s">
        <v>442</v>
      </c>
    </row>
  </sheetData>
  <dataValidations count="1">
    <dataValidation allowBlank="false" errorStyle="stop" operator="between" showDropDown="false" showErrorMessage="false" showInputMessage="false" sqref="B3" type="whole">
      <formula1>1</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4" min="2" style="0" width="15"/>
    <col collapsed="false" customWidth="true" hidden="false" outlineLevel="0" max="5" min="5" style="0" width="70"/>
  </cols>
  <sheetData>
    <row r="1" customFormat="false" ht="17.35" hidden="false" customHeight="false" outlineLevel="0" collapsed="false">
      <c r="A1" s="1" t="s">
        <v>443</v>
      </c>
    </row>
    <row r="2" customFormat="false" ht="15" hidden="false" customHeight="false" outlineLevel="0" collapsed="false">
      <c r="A2" s="2" t="s">
        <v>444</v>
      </c>
    </row>
    <row r="4" customFormat="false" ht="30" hidden="false" customHeight="true" outlineLevel="0" collapsed="false">
      <c r="A4" s="8" t="s">
        <v>445</v>
      </c>
      <c r="B4" s="8" t="s">
        <v>446</v>
      </c>
      <c r="C4" s="8" t="s">
        <v>447</v>
      </c>
      <c r="D4" s="8" t="s">
        <v>448</v>
      </c>
      <c r="E4" s="8" t="s">
        <v>11</v>
      </c>
    </row>
    <row r="5" customFormat="false" ht="15" hidden="false" customHeight="false" outlineLevel="0" collapsed="false">
      <c r="A5" s="5" t="s">
        <v>449</v>
      </c>
      <c r="B5" s="24" t="n">
        <f aca="false">Inputs!$C$35/Inputs!$C$6</f>
        <v>30.4347826086957</v>
      </c>
      <c r="C5" s="24" t="n">
        <f aca="false">Inputs!$C$35/Inputs!$C$6</f>
        <v>30.4347826086957</v>
      </c>
      <c r="D5" s="24" t="n">
        <f aca="false">Inputs!$C$35/Inputs!$C$6</f>
        <v>30.4347826086957</v>
      </c>
      <c r="E5" s="10" t="s">
        <v>450</v>
      </c>
    </row>
    <row r="6" customFormat="false" ht="15" hidden="false" customHeight="false" outlineLevel="0" collapsed="false">
      <c r="A6" s="5" t="s">
        <v>451</v>
      </c>
      <c r="B6" s="24" t="n">
        <f aca="false">Inputs!$C$37*Inputs!$C$7</f>
        <v>1.35</v>
      </c>
      <c r="C6" s="24" t="n">
        <f aca="false">(Inputs!$C$36+Inputs!$C$37)/2*Inputs!$C$7</f>
        <v>0.825</v>
      </c>
      <c r="D6" s="24" t="n">
        <f aca="false">Inputs!$C$36*Inputs!$C$7</f>
        <v>0.3</v>
      </c>
      <c r="E6" s="10" t="s">
        <v>452</v>
      </c>
    </row>
    <row r="7" customFormat="false" ht="15" hidden="false" customHeight="false" outlineLevel="0" collapsed="false">
      <c r="A7" s="5" t="s">
        <v>363</v>
      </c>
      <c r="B7" s="32" t="n">
        <f aca="false">B5/B6</f>
        <v>22.5442834138486</v>
      </c>
      <c r="C7" s="32" t="n">
        <f aca="false">C5/C6</f>
        <v>36.8906455862978</v>
      </c>
      <c r="D7" s="32" t="n">
        <f aca="false">D5/D6</f>
        <v>101.449275362319</v>
      </c>
      <c r="E7" s="10"/>
    </row>
    <row r="8" customFormat="false" ht="15" hidden="false" customHeight="false" outlineLevel="0" collapsed="false">
      <c r="A8" s="5" t="s">
        <v>453</v>
      </c>
      <c r="B8" s="32" t="n">
        <f aca="false">B5/(Inputs!$C$39*Inputs!$C$7)*1000</f>
        <v>5072.46376811594</v>
      </c>
      <c r="C8" s="32" t="n">
        <f aca="false">C5/((Inputs!$C$38+Inputs!$C$39)/2*Inputs!$C$7)*1000</f>
        <v>6763.28502415459</v>
      </c>
      <c r="D8" s="32" t="n">
        <f aca="false">D5/(Inputs!$C$38*Inputs!$C$7)*1000</f>
        <v>10144.9275362319</v>
      </c>
      <c r="E8" s="10" t="s">
        <v>454</v>
      </c>
    </row>
    <row r="9" customFormat="false" ht="15" hidden="false" customHeight="false" outlineLevel="0" collapsed="false">
      <c r="A9" s="5" t="s">
        <v>455</v>
      </c>
      <c r="B9" s="28" t="n">
        <f aca="false">Scenarios!$C$8</f>
        <v>0.3</v>
      </c>
      <c r="C9" s="28" t="n">
        <f aca="false">Scenarios!$C$8</f>
        <v>0.3</v>
      </c>
      <c r="D9" s="28" t="n">
        <f aca="false">Scenarios!$C$8</f>
        <v>0.3</v>
      </c>
      <c r="E9" s="10" t="s">
        <v>456</v>
      </c>
    </row>
    <row r="10" customFormat="false" ht="15" hidden="false" customHeight="false" outlineLevel="0" collapsed="false">
      <c r="A10" s="5" t="s">
        <v>364</v>
      </c>
      <c r="B10" s="33" t="n">
        <f aca="false">B7*B9</f>
        <v>6.76328502415459</v>
      </c>
      <c r="C10" s="33" t="n">
        <f aca="false">C7*C9</f>
        <v>11.0671936758893</v>
      </c>
      <c r="D10" s="33" t="n">
        <f aca="false">D7*D9</f>
        <v>30.4347826086957</v>
      </c>
      <c r="E10" s="10"/>
    </row>
    <row r="11" customFormat="false" ht="15" hidden="false" customHeight="false" outlineLevel="0" collapsed="false">
      <c r="A11" s="3" t="s">
        <v>457</v>
      </c>
      <c r="B11" s="26" t="n">
        <f aca="false">IF(B10=0,0,B5/B10)</f>
        <v>4.5</v>
      </c>
      <c r="C11" s="26" t="n">
        <f aca="false">IF(C10=0,0,C5/C10)</f>
        <v>2.75</v>
      </c>
      <c r="D11" s="26" t="n">
        <f aca="false">IF(D10=0,0,D5/D10)</f>
        <v>1</v>
      </c>
      <c r="E11" s="10"/>
    </row>
    <row r="12" customFormat="false" ht="15" hidden="false" customHeight="false" outlineLevel="0" collapsed="false">
      <c r="A12" s="5" t="s">
        <v>458</v>
      </c>
      <c r="B12" s="33" t="n">
        <f aca="false">B10*Scenarios!$C$9+B7*Scenarios!$C$10</f>
        <v>0.360708534621578</v>
      </c>
      <c r="C12" s="33" t="n">
        <f aca="false">C10*Scenarios!$C$9+C7*Scenarios!$C$10</f>
        <v>0.590250329380764</v>
      </c>
      <c r="D12" s="33" t="n">
        <f aca="false">D10*Scenarios!$C$9+D7*Scenarios!$C$10</f>
        <v>1.6231884057971</v>
      </c>
      <c r="E12" s="10" t="s">
        <v>459</v>
      </c>
    </row>
    <row r="13" customFormat="false" ht="15" hidden="false" customHeight="false" outlineLevel="0" collapsed="false">
      <c r="A13" s="3" t="s">
        <v>460</v>
      </c>
      <c r="B13" s="26" t="n">
        <f aca="false">IF(B12=0,0,B5/B12)</f>
        <v>84.375</v>
      </c>
      <c r="C13" s="26" t="n">
        <f aca="false">IF(C12=0,0,C5/C12)</f>
        <v>51.5625</v>
      </c>
      <c r="D13" s="26" t="n">
        <f aca="false">IF(D12=0,0,D5/D12)</f>
        <v>18.75</v>
      </c>
      <c r="E13" s="10"/>
    </row>
    <row r="14" customFormat="false" ht="15" hidden="false" customHeight="false" outlineLevel="0" collapsed="false">
      <c r="A14" s="5" t="s">
        <v>461</v>
      </c>
      <c r="B14" s="32" t="n">
        <f aca="false">B5/Inputs!$C$41</f>
        <v>20.2898550724638</v>
      </c>
      <c r="C14" s="32" t="n">
        <f aca="false">C5/((Inputs!$C$40+Inputs!$C$41)/2)</f>
        <v>33.816425120773</v>
      </c>
      <c r="D14" s="32" t="n">
        <f aca="false">D5/Inputs!$C$40</f>
        <v>101.449275362319</v>
      </c>
      <c r="E14" s="10" t="s">
        <v>462</v>
      </c>
    </row>
    <row r="15" customFormat="false" ht="15" hidden="false" customHeight="false" outlineLevel="0" collapsed="false">
      <c r="A15" s="5" t="s">
        <v>463</v>
      </c>
      <c r="B15" s="24" t="n">
        <f aca="false">IF(B14=0,0,B5/B14)</f>
        <v>1.5</v>
      </c>
      <c r="C15" s="24" t="n">
        <f aca="false">IF(C14=0,0,C5/C14)</f>
        <v>0.9</v>
      </c>
      <c r="D15" s="24" t="n">
        <f aca="false">IF(D14=0,0,D5/D14)</f>
        <v>0.3</v>
      </c>
      <c r="E15" s="10"/>
    </row>
    <row r="16" customFormat="false" ht="15" hidden="false" customHeight="false" outlineLevel="0" collapsed="false">
      <c r="A16" s="5" t="s">
        <v>464</v>
      </c>
      <c r="B16" s="24" t="n">
        <f aca="false">B12*Journals!$J$6</f>
        <v>3.66496704240472</v>
      </c>
      <c r="C16" s="24" t="n">
        <f aca="false">C12*Journals!$J$6</f>
        <v>5.99721879666228</v>
      </c>
      <c r="D16" s="24" t="n">
        <f aca="false">D12*Journals!$J$6</f>
        <v>16.4923516908213</v>
      </c>
      <c r="E16" s="10"/>
    </row>
    <row r="17" customFormat="false" ht="15" hidden="false" customHeight="false" outlineLevel="0" collapsed="false">
      <c r="A17" s="3" t="s">
        <v>465</v>
      </c>
      <c r="B17" s="36" t="n">
        <f aca="false">IF(B5=0,0,B16/B5)</f>
        <v>0.120420345679012</v>
      </c>
      <c r="C17" s="36" t="n">
        <f aca="false">IF(C5=0,0,C16/C5)</f>
        <v>0.197051474747475</v>
      </c>
      <c r="D17" s="36" t="n">
        <f aca="false">IF(D5=0,0,D16/D5)</f>
        <v>0.541891555555556</v>
      </c>
      <c r="E17" s="10" t="s">
        <v>466</v>
      </c>
    </row>
    <row r="19" customFormat="false" ht="15" hidden="false" customHeight="false" outlineLevel="0" collapsed="false">
      <c r="A19" s="14" t="s">
        <v>467</v>
      </c>
      <c r="B19" s="15"/>
      <c r="C19" s="15"/>
      <c r="D19" s="15"/>
      <c r="E19" s="15"/>
    </row>
    <row r="20" customFormat="false" ht="15" hidden="false" customHeight="false" outlineLevel="0" collapsed="false">
      <c r="A20" s="5" t="s">
        <v>468</v>
      </c>
      <c r="B20" s="9" t="n">
        <f aca="false">Journals!$J$6</f>
        <v>10.1604666666667</v>
      </c>
    </row>
    <row r="21" customFormat="false" ht="39.75" hidden="false" customHeight="true" outlineLevel="0" collapsed="false">
      <c r="A21" s="5" t="s">
        <v>469</v>
      </c>
      <c r="B21" s="9" t="n">
        <f aca="false">Scenarios!$C$27</f>
        <v>0.203209333333333</v>
      </c>
      <c r="E21" s="10" t="s">
        <v>470</v>
      </c>
    </row>
    <row r="23" customFormat="false" ht="15" hidden="false" customHeight="false" outlineLevel="0" collapsed="false">
      <c r="A23" s="14" t="s">
        <v>471</v>
      </c>
      <c r="B23" s="15"/>
      <c r="C23" s="15"/>
      <c r="D23" s="15"/>
      <c r="E23" s="15"/>
    </row>
    <row r="24" customFormat="false" ht="22.35" hidden="false" customHeight="false" outlineLevel="0" collapsed="false">
      <c r="A24" s="5" t="s">
        <v>449</v>
      </c>
      <c r="B24" s="23"/>
      <c r="E24" s="10" t="s">
        <v>472</v>
      </c>
    </row>
    <row r="25" customFormat="false" ht="15" hidden="false" customHeight="false" outlineLevel="0" collapsed="false">
      <c r="A25" s="5" t="s">
        <v>473</v>
      </c>
      <c r="B25" s="19"/>
    </row>
    <row r="26" customFormat="false" ht="15" hidden="false" customHeight="false" outlineLevel="0" collapsed="false">
      <c r="A26" s="5" t="s">
        <v>474</v>
      </c>
      <c r="B26" s="19"/>
    </row>
    <row r="27" customFormat="false" ht="15" hidden="false" customHeight="false" outlineLevel="0" collapsed="false">
      <c r="A27" s="5" t="s">
        <v>475</v>
      </c>
      <c r="B27" s="19"/>
    </row>
    <row r="28" customFormat="false" ht="15" hidden="false" customHeight="false" outlineLevel="0" collapsed="false">
      <c r="A28" s="5" t="s">
        <v>476</v>
      </c>
      <c r="B28" s="19"/>
    </row>
    <row r="29" customFormat="false" ht="15" hidden="false" customHeight="false" outlineLevel="0" collapsed="false">
      <c r="A29" s="5" t="s">
        <v>477</v>
      </c>
      <c r="B29" s="19"/>
    </row>
    <row r="30" customFormat="false" ht="15" hidden="false" customHeight="false" outlineLevel="0" collapsed="false">
      <c r="A30" s="5" t="s">
        <v>478</v>
      </c>
      <c r="B30" s="19"/>
    </row>
    <row r="31" customFormat="false" ht="15" hidden="false" customHeight="false" outlineLevel="0" collapsed="false">
      <c r="A31" s="3" t="s">
        <v>479</v>
      </c>
      <c r="B31" s="26" t="str">
        <f aca="false">IF(N(B27)=0,"",B24/B27)</f>
        <v/>
      </c>
    </row>
    <row r="32" customFormat="false" ht="15" hidden="false" customHeight="false" outlineLevel="0" collapsed="false">
      <c r="A32" s="3" t="s">
        <v>480</v>
      </c>
      <c r="B32" s="26" t="str">
        <f aca="false">IF(N(B28)=0,"",B24/B28)</f>
        <v/>
      </c>
    </row>
    <row r="33" customFormat="false" ht="15" hidden="false" customHeight="false" outlineLevel="0" collapsed="false">
      <c r="A33" s="3" t="s">
        <v>481</v>
      </c>
      <c r="B33" s="26" t="str">
        <f aca="false">IF(N(B29)=0,"",B24/B29)</f>
        <v/>
      </c>
    </row>
    <row r="34" customFormat="false" ht="15" hidden="false" customHeight="false" outlineLevel="0" collapsed="false">
      <c r="A34" s="3" t="s">
        <v>482</v>
      </c>
      <c r="B34" s="26" t="str">
        <f aca="false">IF(N(B30)=0,"",B24/B30)</f>
        <v/>
      </c>
    </row>
    <row r="35" customFormat="false" ht="15" hidden="false" customHeight="false" outlineLevel="0" collapsed="false">
      <c r="A35" s="3" t="s">
        <v>483</v>
      </c>
      <c r="B35" s="26" t="str">
        <f aca="false">IF(N(B25)=0,"",B24/B25*1000)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5"/>
    <col collapsed="false" customWidth="true" hidden="false" outlineLevel="0" max="5" min="5" style="0" width="70"/>
  </cols>
  <sheetData>
    <row r="1" customFormat="false" ht="17.35" hidden="false" customHeight="false" outlineLevel="0" collapsed="false">
      <c r="A1" s="1" t="s">
        <v>484</v>
      </c>
    </row>
    <row r="2" customFormat="false" ht="15" hidden="false" customHeight="false" outlineLevel="0" collapsed="false">
      <c r="A2" s="2" t="s">
        <v>485</v>
      </c>
    </row>
    <row r="4" customFormat="false" ht="30" hidden="false" customHeight="true" outlineLevel="0" collapsed="false">
      <c r="A4" s="8" t="s">
        <v>33</v>
      </c>
      <c r="B4" s="8" t="s">
        <v>486</v>
      </c>
      <c r="C4" s="8" t="s">
        <v>487</v>
      </c>
      <c r="D4" s="8"/>
      <c r="E4" s="8" t="s">
        <v>11</v>
      </c>
    </row>
    <row r="5" customFormat="false" ht="15" hidden="false" customHeight="false" outlineLevel="0" collapsed="false">
      <c r="A5" s="5" t="s">
        <v>488</v>
      </c>
      <c r="B5" s="13" t="n">
        <f aca="false">Inputs!$C$12</f>
        <v>130</v>
      </c>
      <c r="C5" s="17" t="n">
        <v>1000</v>
      </c>
      <c r="E5" s="2" t="s">
        <v>489</v>
      </c>
    </row>
    <row r="6" customFormat="false" ht="15" hidden="false" customHeight="false" outlineLevel="0" collapsed="false">
      <c r="A6" s="5" t="s">
        <v>490</v>
      </c>
      <c r="B6" s="13" t="n">
        <f aca="false">Inputs!$C$9</f>
        <v>14</v>
      </c>
      <c r="C6" s="17" t="n">
        <v>1000</v>
      </c>
    </row>
    <row r="7" customFormat="false" ht="15" hidden="false" customHeight="false" outlineLevel="0" collapsed="false">
      <c r="A7" s="5" t="s">
        <v>491</v>
      </c>
      <c r="B7" s="37" t="n">
        <f aca="false">Inputs!$C$59</f>
        <v>5</v>
      </c>
      <c r="C7" s="37" t="n">
        <f aca="false">Inputs!$C$60</f>
        <v>15</v>
      </c>
      <c r="E7" s="2" t="s">
        <v>492</v>
      </c>
    </row>
    <row r="9" customFormat="false" ht="30" hidden="false" customHeight="true" outlineLevel="0" collapsed="false">
      <c r="A9" s="8" t="s">
        <v>493</v>
      </c>
      <c r="B9" s="8" t="s">
        <v>494</v>
      </c>
      <c r="C9" s="8" t="s">
        <v>495</v>
      </c>
      <c r="D9" s="8" t="s">
        <v>496</v>
      </c>
      <c r="E9" s="8" t="s">
        <v>497</v>
      </c>
    </row>
    <row r="10" customFormat="false" ht="15" hidden="false" customHeight="false" outlineLevel="0" collapsed="false">
      <c r="A10" s="5" t="s">
        <v>498</v>
      </c>
      <c r="B10" s="24" t="n">
        <f aca="false">$B$5/1000*$B$7*Inputs!$C$7*1</f>
        <v>0.4875</v>
      </c>
      <c r="C10" s="24" t="n">
        <f aca="false">$B$5/1000*$C$7*Inputs!$C$7*1</f>
        <v>1.4625</v>
      </c>
      <c r="D10" s="24" t="n">
        <f aca="false">MAX($C$5/1000*($B$7+$C$7)/2*Inputs!$C$7,IF($C$6&gt;=1000,Inputs!$C$61*Inputs!$C$7,0))*1</f>
        <v>37.5</v>
      </c>
      <c r="E10" s="10" t="s">
        <v>499</v>
      </c>
      <c r="F10" s="5"/>
    </row>
    <row r="11" customFormat="false" ht="15" hidden="false" customHeight="false" outlineLevel="0" collapsed="false">
      <c r="A11" s="5" t="s">
        <v>500</v>
      </c>
      <c r="B11" s="24" t="n">
        <f aca="false">$B$5/1000*$B$7*Inputs!$C$7*0.8</f>
        <v>0.39</v>
      </c>
      <c r="C11" s="24" t="n">
        <f aca="false">$B$5/1000*$C$7*Inputs!$C$7*0.8</f>
        <v>1.17</v>
      </c>
      <c r="D11" s="24" t="n">
        <f aca="false">MAX($C$5/1000*($B$7+$C$7)/2*Inputs!$C$7,IF($C$6&gt;=1000,Inputs!$C$61*Inputs!$C$7,0))*0.8</f>
        <v>30</v>
      </c>
      <c r="E11" s="10" t="s">
        <v>501</v>
      </c>
      <c r="F11" s="5"/>
    </row>
    <row r="12" customFormat="false" ht="15" hidden="false" customHeight="false" outlineLevel="0" collapsed="false">
      <c r="A12" s="5" t="s">
        <v>502</v>
      </c>
      <c r="B12" s="24" t="n">
        <f aca="false">$B$5/1000*$B$7*Inputs!$C$7*0.5</f>
        <v>0.24375</v>
      </c>
      <c r="C12" s="24" t="n">
        <f aca="false">$B$5/1000*$C$7*Inputs!$C$7*0.5</f>
        <v>0.73125</v>
      </c>
      <c r="D12" s="24" t="n">
        <f aca="false">MAX($C$5/1000*($B$7+$C$7)/2*Inputs!$C$7,IF($C$6&gt;=1000,Inputs!$C$61*Inputs!$C$7,0))*0.5</f>
        <v>18.75</v>
      </c>
      <c r="E12" s="10" t="s">
        <v>503</v>
      </c>
      <c r="F12" s="5"/>
    </row>
    <row r="13" customFormat="false" ht="15" hidden="false" customHeight="false" outlineLevel="0" collapsed="false">
      <c r="A13" s="5" t="s">
        <v>504</v>
      </c>
      <c r="B13" s="24" t="n">
        <f aca="false">$B$5/1000*$B$7*Inputs!$C$7*0.3</f>
        <v>0.14625</v>
      </c>
      <c r="C13" s="24" t="n">
        <f aca="false">$B$5/1000*$C$7*Inputs!$C$7*0.3</f>
        <v>0.43875</v>
      </c>
      <c r="D13" s="24" t="n">
        <f aca="false">MAX($C$5/1000*($B$7+$C$7)/2*Inputs!$C$7,IF($C$6&gt;=1000,Inputs!$C$61*Inputs!$C$7,0))*0.3</f>
        <v>11.25</v>
      </c>
      <c r="E13" s="10" t="s">
        <v>505</v>
      </c>
      <c r="F13" s="5"/>
    </row>
    <row r="14" customFormat="false" ht="22.35" hidden="false" customHeight="false" outlineLevel="0" collapsed="false">
      <c r="A14" s="5" t="s">
        <v>506</v>
      </c>
      <c r="B14" s="24" t="n">
        <f aca="false">Inputs!$C$18*0.45/1000*25</f>
        <v>0</v>
      </c>
      <c r="C14" s="24" t="n">
        <f aca="false">B14</f>
        <v>0</v>
      </c>
      <c r="D14" s="24" t="n">
        <f aca="false">1000*0.45/1000*25</f>
        <v>11.25</v>
      </c>
      <c r="E14" s="10" t="s">
        <v>507</v>
      </c>
      <c r="F14" s="5"/>
    </row>
    <row r="15" customFormat="false" ht="15" hidden="false" customHeight="false" outlineLevel="0" collapsed="false">
      <c r="A15" s="5" t="s">
        <v>508</v>
      </c>
      <c r="B15" s="24" t="n">
        <f aca="false">$B$5/1000*$B$7*Inputs!$C$7*0.3</f>
        <v>0.14625</v>
      </c>
      <c r="C15" s="24" t="n">
        <f aca="false">$B$5/1000*$C$7*Inputs!$C$7*0.3</f>
        <v>0.43875</v>
      </c>
      <c r="D15" s="24" t="n">
        <f aca="false">MAX($C$5/1000*($B$7+$C$7)/2*Inputs!$C$7,IF($C$6&gt;=1000,Inputs!$C$61*Inputs!$C$7,0))*0.3</f>
        <v>11.25</v>
      </c>
      <c r="E15" s="10" t="s">
        <v>509</v>
      </c>
      <c r="F15" s="5"/>
    </row>
    <row r="16" customFormat="false" ht="15" hidden="false" customHeight="false" outlineLevel="0" collapsed="false">
      <c r="A16" s="5" t="s">
        <v>510</v>
      </c>
      <c r="B16" s="24" t="n">
        <f aca="false">$B$5/1000*$B$7*Inputs!$C$7*0.25</f>
        <v>0.121875</v>
      </c>
      <c r="C16" s="24" t="n">
        <f aca="false">$B$5/1000*$C$7*Inputs!$C$7*0.25</f>
        <v>0.365625</v>
      </c>
      <c r="D16" s="24" t="n">
        <f aca="false">MAX($C$5/1000*($B$7+$C$7)/2*Inputs!$C$7,IF($C$6&gt;=1000,Inputs!$C$61*Inputs!$C$7,0))*0.25</f>
        <v>9.375</v>
      </c>
      <c r="E16" s="10" t="s">
        <v>511</v>
      </c>
      <c r="F16" s="5"/>
    </row>
    <row r="18" customFormat="false" ht="22.35" hidden="false" customHeight="false" outlineLevel="0" collapsed="false">
      <c r="A18" s="3" t="s">
        <v>512</v>
      </c>
      <c r="B18" s="3" t="str">
        <f aca="false">IF(AND(Inputs!$C$9&gt;=1000,Inputs!$C$12&gt;=1000),"Yes","Not yet")</f>
        <v>Not yet</v>
      </c>
      <c r="E18" s="10" t="s">
        <v>513</v>
      </c>
    </row>
    <row r="20" customFormat="false" ht="30" hidden="false" customHeight="true" outlineLevel="0" collapsed="false">
      <c r="A20" s="8" t="s">
        <v>514</v>
      </c>
      <c r="B20" s="8" t="s">
        <v>515</v>
      </c>
      <c r="C20" s="8"/>
      <c r="D20" s="8"/>
      <c r="E20" s="8" t="s">
        <v>516</v>
      </c>
    </row>
    <row r="21" customFormat="false" ht="15" hidden="false" customHeight="false" outlineLevel="0" collapsed="false">
      <c r="A21" s="5" t="s">
        <v>517</v>
      </c>
      <c r="B21" s="4" t="s">
        <v>518</v>
      </c>
      <c r="E21" s="10" t="s">
        <v>519</v>
      </c>
    </row>
    <row r="22" customFormat="false" ht="15" hidden="false" customHeight="false" outlineLevel="0" collapsed="false">
      <c r="A22" s="5" t="s">
        <v>520</v>
      </c>
      <c r="B22" s="4" t="s">
        <v>518</v>
      </c>
      <c r="E22" s="10" t="s">
        <v>521</v>
      </c>
    </row>
    <row r="23" customFormat="false" ht="15" hidden="false" customHeight="false" outlineLevel="0" collapsed="false">
      <c r="A23" s="5" t="s">
        <v>522</v>
      </c>
      <c r="B23" s="4" t="s">
        <v>523</v>
      </c>
      <c r="E23" s="10" t="s">
        <v>524</v>
      </c>
    </row>
    <row r="24" customFormat="false" ht="15" hidden="false" customHeight="false" outlineLevel="0" collapsed="false">
      <c r="A24" s="5" t="s">
        <v>525</v>
      </c>
      <c r="B24" s="4" t="s">
        <v>523</v>
      </c>
      <c r="E24" s="10" t="s">
        <v>526</v>
      </c>
    </row>
    <row r="25" customFormat="false" ht="15" hidden="false" customHeight="false" outlineLevel="0" collapsed="false">
      <c r="A25" s="5" t="s">
        <v>527</v>
      </c>
      <c r="B25" s="4" t="s">
        <v>528</v>
      </c>
      <c r="E25" s="10" t="s">
        <v>529</v>
      </c>
    </row>
    <row r="26" customFormat="false" ht="15" hidden="false" customHeight="false" outlineLevel="0" collapsed="false">
      <c r="A26" s="5" t="s">
        <v>530</v>
      </c>
      <c r="B26" s="4" t="s">
        <v>531</v>
      </c>
      <c r="E26" s="10" t="s">
        <v>532</v>
      </c>
    </row>
    <row r="27" customFormat="false" ht="15" hidden="false" customHeight="false" outlineLevel="0" collapsed="false">
      <c r="A27" s="5" t="s">
        <v>533</v>
      </c>
      <c r="B27" s="4" t="s">
        <v>528</v>
      </c>
      <c r="E27" s="10" t="s">
        <v>534</v>
      </c>
    </row>
    <row r="28" customFormat="false" ht="15" hidden="false" customHeight="false" outlineLevel="0" collapsed="false">
      <c r="A28" s="5" t="s">
        <v>535</v>
      </c>
      <c r="B28" s="4" t="s">
        <v>523</v>
      </c>
      <c r="E28" s="10" t="s">
        <v>536</v>
      </c>
    </row>
    <row r="29" customFormat="false" ht="22.35" hidden="false" customHeight="false" outlineLevel="0" collapsed="false">
      <c r="A29" s="5" t="s">
        <v>537</v>
      </c>
      <c r="B29" s="4" t="s">
        <v>538</v>
      </c>
      <c r="E29" s="10" t="s">
        <v>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4" min="3" style="0" width="12"/>
    <col collapsed="false" customWidth="true" hidden="false" outlineLevel="0" max="5" min="5" style="0" width="10"/>
    <col collapsed="false" customWidth="true" hidden="false" outlineLevel="0" max="6" min="6" style="0" width="8"/>
    <col collapsed="false" customWidth="true" hidden="false" outlineLevel="0" max="7" min="7" style="0" width="40"/>
    <col collapsed="false" customWidth="true" hidden="false" outlineLevel="0" max="8" min="8" style="0" width="11"/>
    <col collapsed="false" customWidth="true" hidden="false" outlineLevel="0" max="9" min="9" style="0" width="13"/>
    <col collapsed="false" customWidth="true" hidden="false" outlineLevel="0" max="10" min="10" style="0" width="11"/>
    <col collapsed="false" customWidth="true" hidden="false" outlineLevel="0" max="11" min="11" style="0" width="7"/>
    <col collapsed="false" customWidth="true" hidden="false" outlineLevel="0" max="12" min="12" style="0" width="14"/>
    <col collapsed="false" customWidth="true" hidden="false" outlineLevel="0" max="13" min="13" style="0" width="60"/>
  </cols>
  <sheetData>
    <row r="1" customFormat="false" ht="17.35" hidden="false" customHeight="false" outlineLevel="0" collapsed="false">
      <c r="A1" s="1" t="s">
        <v>540</v>
      </c>
    </row>
    <row r="2" customFormat="false" ht="15" hidden="false" customHeight="false" outlineLevel="0" collapsed="false">
      <c r="A2" s="2" t="s">
        <v>541</v>
      </c>
    </row>
    <row r="4" customFormat="false" ht="30" hidden="false" customHeight="true" outlineLevel="0" collapsed="false">
      <c r="A4" s="8" t="s">
        <v>542</v>
      </c>
      <c r="B4" s="8" t="s">
        <v>543</v>
      </c>
      <c r="C4" s="8" t="s">
        <v>544</v>
      </c>
      <c r="D4" s="8" t="s">
        <v>545</v>
      </c>
      <c r="E4" s="8" t="s">
        <v>546</v>
      </c>
      <c r="F4" s="8" t="s">
        <v>547</v>
      </c>
      <c r="G4" s="8" t="s">
        <v>548</v>
      </c>
      <c r="H4" s="8" t="s">
        <v>549</v>
      </c>
      <c r="I4" s="8" t="s">
        <v>550</v>
      </c>
      <c r="J4" s="8" t="s">
        <v>551</v>
      </c>
      <c r="K4" s="8" t="s">
        <v>552</v>
      </c>
      <c r="L4" s="8" t="s">
        <v>553</v>
      </c>
      <c r="M4" s="8" t="s">
        <v>554</v>
      </c>
    </row>
    <row r="5" customFormat="false" ht="42" hidden="false" customHeight="true" outlineLevel="0" collapsed="false">
      <c r="A5" s="3" t="s">
        <v>555</v>
      </c>
      <c r="B5" s="9" t="n">
        <f aca="false">Journals!$B$6</f>
        <v>14</v>
      </c>
      <c r="C5" s="24" t="n">
        <f aca="false">Journals!$B$6-Journals!$J$6</f>
        <v>3.83953333333333</v>
      </c>
      <c r="D5" s="24" t="n">
        <f aca="false">B5-C5</f>
        <v>10.1604666666667</v>
      </c>
      <c r="E5" s="28" t="n">
        <f aca="false">IF(B5=0,0,D5/B5)</f>
        <v>0.725747619047619</v>
      </c>
      <c r="F5" s="17" t="n">
        <v>1</v>
      </c>
      <c r="G5" s="38" t="s">
        <v>556</v>
      </c>
      <c r="H5" s="17" t="n">
        <v>3</v>
      </c>
      <c r="I5" s="24" t="n">
        <f aca="false">D5*H5</f>
        <v>30.4814</v>
      </c>
      <c r="J5" s="33" t="n">
        <f aca="false">I5/F5</f>
        <v>30.4814</v>
      </c>
      <c r="K5" s="29" t="n">
        <f aca="false">RANK(J5,$J$5:$J$16)</f>
        <v>6</v>
      </c>
      <c r="L5" s="5" t="s">
        <v>557</v>
      </c>
      <c r="M5" s="10" t="s">
        <v>558</v>
      </c>
    </row>
    <row r="6" customFormat="false" ht="42" hidden="false" customHeight="true" outlineLevel="0" collapsed="false">
      <c r="A6" s="3" t="s">
        <v>559</v>
      </c>
      <c r="B6" s="9" t="n">
        <f aca="false">Inputs!$C$52</f>
        <v>12</v>
      </c>
      <c r="C6" s="24" t="n">
        <f aca="false">Inputs!$C$52*(1-Inputs!$C$51)</f>
        <v>10.8</v>
      </c>
      <c r="D6" s="24" t="n">
        <f aca="false">B6-C6</f>
        <v>1.2</v>
      </c>
      <c r="E6" s="28" t="n">
        <f aca="false">IF(B6=0,0,D6/B6)</f>
        <v>0.0999999999999999</v>
      </c>
      <c r="F6" s="17" t="n">
        <v>1</v>
      </c>
      <c r="G6" s="38" t="s">
        <v>560</v>
      </c>
      <c r="H6" s="17" t="n">
        <v>2</v>
      </c>
      <c r="I6" s="24" t="n">
        <f aca="false">D6*H6</f>
        <v>2.4</v>
      </c>
      <c r="J6" s="33" t="n">
        <f aca="false">I6/F6</f>
        <v>2.4</v>
      </c>
      <c r="K6" s="29" t="n">
        <f aca="false">RANK(J6,$J$5:$J$16)</f>
        <v>12</v>
      </c>
      <c r="L6" s="5" t="s">
        <v>557</v>
      </c>
      <c r="M6" s="10" t="s">
        <v>561</v>
      </c>
    </row>
    <row r="7" customFormat="false" ht="42" hidden="false" customHeight="true" outlineLevel="0" collapsed="false">
      <c r="A7" s="3" t="s">
        <v>562</v>
      </c>
      <c r="B7" s="9" t="n">
        <f aca="false">Inputs!$C$70</f>
        <v>12.99</v>
      </c>
      <c r="C7" s="24" t="n">
        <f aca="false">Inputs!$C$70-Journals!$B$17</f>
        <v>7.486</v>
      </c>
      <c r="D7" s="24" t="n">
        <f aca="false">B7-C7</f>
        <v>5.504</v>
      </c>
      <c r="E7" s="28" t="n">
        <f aca="false">IF(B7=0,0,D7/B7)</f>
        <v>0.423710546574288</v>
      </c>
      <c r="F7" s="17" t="n">
        <v>2</v>
      </c>
      <c r="G7" s="38" t="s">
        <v>563</v>
      </c>
      <c r="H7" s="17" t="n">
        <v>3</v>
      </c>
      <c r="I7" s="24" t="n">
        <f aca="false">D7*H7</f>
        <v>16.512</v>
      </c>
      <c r="J7" s="33" t="n">
        <f aca="false">I7/F7</f>
        <v>8.256</v>
      </c>
      <c r="K7" s="29" t="n">
        <f aca="false">RANK(J7,$J$5:$J$16)</f>
        <v>11</v>
      </c>
      <c r="L7" s="5" t="s">
        <v>564</v>
      </c>
      <c r="M7" s="10" t="s">
        <v>565</v>
      </c>
    </row>
    <row r="8" customFormat="false" ht="42" hidden="false" customHeight="true" outlineLevel="0" collapsed="false">
      <c r="A8" s="3" t="s">
        <v>566</v>
      </c>
      <c r="B8" s="9" t="n">
        <f aca="false">Merch!$B$6+Merch!$B$7</f>
        <v>31.95</v>
      </c>
      <c r="C8" s="24" t="n">
        <f aca="false">(Merch!$B$6+Merch!$B$7)-Merch!$B$19</f>
        <v>18.5507</v>
      </c>
      <c r="D8" s="24" t="n">
        <f aca="false">B8-C8</f>
        <v>13.3993</v>
      </c>
      <c r="E8" s="28" t="n">
        <f aca="false">IF(B8=0,0,D8/B8)</f>
        <v>0.419383411580595</v>
      </c>
      <c r="F8" s="17" t="n">
        <v>2</v>
      </c>
      <c r="G8" s="38" t="s">
        <v>567</v>
      </c>
      <c r="H8" s="17" t="n">
        <v>3</v>
      </c>
      <c r="I8" s="24" t="n">
        <f aca="false">D8*H8</f>
        <v>40.1979</v>
      </c>
      <c r="J8" s="33" t="n">
        <f aca="false">I8/F8</f>
        <v>20.09895</v>
      </c>
      <c r="K8" s="29" t="n">
        <f aca="false">RANK(J8,$J$5:$J$16)</f>
        <v>8</v>
      </c>
      <c r="L8" s="5" t="s">
        <v>568</v>
      </c>
      <c r="M8" s="10" t="s">
        <v>569</v>
      </c>
    </row>
    <row r="9" customFormat="false" ht="42" hidden="false" customHeight="true" outlineLevel="0" collapsed="false">
      <c r="A9" s="3" t="s">
        <v>570</v>
      </c>
      <c r="B9" s="9" t="n">
        <f aca="false">'Rate card'!$D$10</f>
        <v>37.5</v>
      </c>
      <c r="C9" s="24" t="n">
        <f aca="false">'Rate card'!$D$10*0.05</f>
        <v>1.875</v>
      </c>
      <c r="D9" s="24" t="n">
        <f aca="false">B9-C9</f>
        <v>35.625</v>
      </c>
      <c r="E9" s="28" t="n">
        <f aca="false">IF(B9=0,0,D9/B9)</f>
        <v>0.95</v>
      </c>
      <c r="F9" s="17" t="n">
        <v>3</v>
      </c>
      <c r="G9" s="38" t="s">
        <v>571</v>
      </c>
      <c r="H9" s="17" t="n">
        <v>1</v>
      </c>
      <c r="I9" s="24" t="n">
        <f aca="false">D9*H9</f>
        <v>35.625</v>
      </c>
      <c r="J9" s="33" t="n">
        <f aca="false">I9/F9</f>
        <v>11.875</v>
      </c>
      <c r="K9" s="29" t="n">
        <f aca="false">RANK(J9,$J$5:$J$16)</f>
        <v>10</v>
      </c>
      <c r="L9" s="5" t="s">
        <v>572</v>
      </c>
      <c r="M9" s="10" t="s">
        <v>573</v>
      </c>
    </row>
    <row r="10" customFormat="false" ht="42" hidden="false" customHeight="true" outlineLevel="0" collapsed="false">
      <c r="A10" s="3" t="s">
        <v>574</v>
      </c>
      <c r="B10" s="9" t="n">
        <f aca="false">Inputs!$C$65</f>
        <v>15</v>
      </c>
      <c r="C10" s="24" t="n">
        <f aca="false">Inputs!$C$65*Inputs!$C$24+Inputs!$C$27</f>
        <v>0.425</v>
      </c>
      <c r="D10" s="24" t="n">
        <f aca="false">B10-C10</f>
        <v>14.575</v>
      </c>
      <c r="E10" s="28" t="n">
        <f aca="false">IF(B10=0,0,D10/B10)</f>
        <v>0.971666666666667</v>
      </c>
      <c r="F10" s="17" t="n">
        <v>3</v>
      </c>
      <c r="G10" s="38" t="s">
        <v>575</v>
      </c>
      <c r="H10" s="17" t="n">
        <v>15</v>
      </c>
      <c r="I10" s="24" t="n">
        <f aca="false">D10*H10</f>
        <v>218.625</v>
      </c>
      <c r="J10" s="33" t="n">
        <f aca="false">I10/F10</f>
        <v>72.875</v>
      </c>
      <c r="K10" s="29" t="n">
        <f aca="false">RANK(J10,$J$5:$J$16)</f>
        <v>1</v>
      </c>
      <c r="L10" s="5" t="s">
        <v>568</v>
      </c>
      <c r="M10" s="10" t="s">
        <v>576</v>
      </c>
    </row>
    <row r="11" customFormat="false" ht="42" hidden="false" customHeight="true" outlineLevel="0" collapsed="false">
      <c r="A11" s="3" t="s">
        <v>577</v>
      </c>
      <c r="B11" s="9" t="n">
        <f aca="false">Inputs!$C$54</f>
        <v>5</v>
      </c>
      <c r="C11" s="24" t="n">
        <f aca="false">Inputs!$C$54*(Inputs!$C$55+Inputs!$C$56)+Inputs!$C$57</f>
        <v>0.895</v>
      </c>
      <c r="D11" s="24" t="n">
        <f aca="false">B11-C11</f>
        <v>4.105</v>
      </c>
      <c r="E11" s="28" t="n">
        <f aca="false">IF(B11=0,0,D11/B11)</f>
        <v>0.821</v>
      </c>
      <c r="F11" s="17" t="n">
        <v>3</v>
      </c>
      <c r="G11" s="38" t="s">
        <v>578</v>
      </c>
      <c r="H11" s="13" t="n">
        <f aca="false">1000*Inputs!$C$58</f>
        <v>30</v>
      </c>
      <c r="I11" s="24" t="n">
        <f aca="false">D11*H11</f>
        <v>123.15</v>
      </c>
      <c r="J11" s="33" t="n">
        <f aca="false">I11/F11</f>
        <v>41.05</v>
      </c>
      <c r="K11" s="29" t="n">
        <f aca="false">RANK(J11,$J$5:$J$16)</f>
        <v>4</v>
      </c>
      <c r="L11" s="5" t="s">
        <v>579</v>
      </c>
      <c r="M11" s="10" t="s">
        <v>580</v>
      </c>
    </row>
    <row r="12" customFormat="false" ht="42" hidden="false" customHeight="true" outlineLevel="0" collapsed="false">
      <c r="A12" s="3" t="s">
        <v>581</v>
      </c>
      <c r="B12" s="9" t="n">
        <f aca="false">Inputs!$C$64</f>
        <v>60</v>
      </c>
      <c r="C12" s="24" t="n">
        <f aca="false">Inputs!$C$64*Inputs!$C$24+Inputs!$C$27</f>
        <v>1.1</v>
      </c>
      <c r="D12" s="24" t="n">
        <f aca="false">B12-C12</f>
        <v>58.9</v>
      </c>
      <c r="E12" s="28" t="n">
        <f aca="false">IF(B12=0,0,D12/B12)</f>
        <v>0.981666666666667</v>
      </c>
      <c r="F12" s="17" t="n">
        <v>4</v>
      </c>
      <c r="G12" s="38" t="s">
        <v>582</v>
      </c>
      <c r="H12" s="17" t="n">
        <v>3</v>
      </c>
      <c r="I12" s="24" t="n">
        <f aca="false">D12*H12</f>
        <v>176.7</v>
      </c>
      <c r="J12" s="33" t="n">
        <f aca="false">I12/F12</f>
        <v>44.175</v>
      </c>
      <c r="K12" s="29" t="n">
        <f aca="false">RANK(J12,$J$5:$J$16)</f>
        <v>2</v>
      </c>
      <c r="L12" s="5" t="s">
        <v>583</v>
      </c>
      <c r="M12" s="10" t="s">
        <v>584</v>
      </c>
    </row>
    <row r="13" customFormat="false" ht="42" hidden="false" customHeight="true" outlineLevel="0" collapsed="false">
      <c r="A13" s="3" t="s">
        <v>585</v>
      </c>
      <c r="B13" s="9" t="n">
        <f aca="false">Inputs!$C$63</f>
        <v>45</v>
      </c>
      <c r="C13" s="24" t="n">
        <f aca="false">Inputs!$C$63*Inputs!$C$24+Inputs!$C$27</f>
        <v>0.875</v>
      </c>
      <c r="D13" s="24" t="n">
        <f aca="false">B13-C13</f>
        <v>44.125</v>
      </c>
      <c r="E13" s="28" t="n">
        <f aca="false">IF(B13=0,0,D13/B13)</f>
        <v>0.980555555555556</v>
      </c>
      <c r="F13" s="17" t="n">
        <v>5</v>
      </c>
      <c r="G13" s="38" t="s">
        <v>582</v>
      </c>
      <c r="H13" s="17" t="n">
        <v>4</v>
      </c>
      <c r="I13" s="24" t="n">
        <f aca="false">D13*H13</f>
        <v>176.5</v>
      </c>
      <c r="J13" s="33" t="n">
        <f aca="false">I13/F13</f>
        <v>35.3</v>
      </c>
      <c r="K13" s="29" t="n">
        <f aca="false">RANK(J13,$J$5:$J$16)</f>
        <v>5</v>
      </c>
      <c r="L13" s="5" t="s">
        <v>583</v>
      </c>
      <c r="M13" s="10" t="s">
        <v>586</v>
      </c>
    </row>
    <row r="14" customFormat="false" ht="42" hidden="false" customHeight="true" outlineLevel="0" collapsed="false">
      <c r="A14" s="3" t="s">
        <v>206</v>
      </c>
      <c r="B14" s="9" t="n">
        <f aca="false">Inputs!$C$67</f>
        <v>6</v>
      </c>
      <c r="C14" s="24" t="n">
        <f aca="false">Inputs!$C$67*(Inputs!$C$55+Inputs!$C$56)+Inputs!$C$57</f>
        <v>1.024</v>
      </c>
      <c r="D14" s="24" t="n">
        <f aca="false">B14-C14</f>
        <v>4.976</v>
      </c>
      <c r="E14" s="28" t="n">
        <f aca="false">IF(B14=0,0,D14/B14)</f>
        <v>0.829333333333333</v>
      </c>
      <c r="F14" s="17" t="n">
        <v>4</v>
      </c>
      <c r="G14" s="38" t="s">
        <v>587</v>
      </c>
      <c r="H14" s="17" t="n">
        <v>15</v>
      </c>
      <c r="I14" s="24" t="n">
        <f aca="false">D14*H14</f>
        <v>74.64</v>
      </c>
      <c r="J14" s="33" t="n">
        <f aca="false">I14/F14</f>
        <v>18.66</v>
      </c>
      <c r="K14" s="29" t="n">
        <f aca="false">RANK(J14,$J$5:$J$16)</f>
        <v>9</v>
      </c>
      <c r="L14" s="5" t="s">
        <v>588</v>
      </c>
      <c r="M14" s="10" t="s">
        <v>589</v>
      </c>
    </row>
    <row r="15" customFormat="false" ht="42" hidden="false" customHeight="true" outlineLevel="0" collapsed="false">
      <c r="A15" s="3" t="s">
        <v>205</v>
      </c>
      <c r="B15" s="9" t="n">
        <f aca="false">Inputs!$C$66</f>
        <v>49</v>
      </c>
      <c r="C15" s="24" t="n">
        <f aca="false">Inputs!$C$66-Inputs!$C$66/(1+Inputs!$C$22)+Inputs!$C$66*(Inputs!$C$24+Inputs!$C$23)+Inputs!$C$27</f>
        <v>10.8166666666667</v>
      </c>
      <c r="D15" s="24" t="n">
        <f aca="false">B15-C15</f>
        <v>38.1833333333333</v>
      </c>
      <c r="E15" s="28" t="n">
        <f aca="false">IF(B15=0,0,D15/B15)</f>
        <v>0.779251700680272</v>
      </c>
      <c r="F15" s="17" t="n">
        <v>5</v>
      </c>
      <c r="G15" s="38" t="s">
        <v>590</v>
      </c>
      <c r="H15" s="17" t="n">
        <v>3</v>
      </c>
      <c r="I15" s="24" t="n">
        <f aca="false">D15*H15</f>
        <v>114.55</v>
      </c>
      <c r="J15" s="33" t="n">
        <f aca="false">I15/F15</f>
        <v>22.91</v>
      </c>
      <c r="K15" s="29" t="n">
        <f aca="false">RANK(J15,$J$5:$J$16)</f>
        <v>7</v>
      </c>
      <c r="L15" s="5" t="s">
        <v>588</v>
      </c>
      <c r="M15" s="10" t="s">
        <v>591</v>
      </c>
    </row>
    <row r="16" customFormat="false" ht="42" hidden="false" customHeight="true" outlineLevel="0" collapsed="false">
      <c r="A16" s="3" t="s">
        <v>592</v>
      </c>
      <c r="B16" s="9" t="n">
        <f aca="false">Inputs!$C$68</f>
        <v>250</v>
      </c>
      <c r="C16" s="24" t="n">
        <f aca="false">Inputs!$C$69</f>
        <v>30</v>
      </c>
      <c r="D16" s="24" t="n">
        <f aca="false">B16-C16</f>
        <v>220</v>
      </c>
      <c r="E16" s="28" t="n">
        <f aca="false">IF(B16=0,0,D16/B16)</f>
        <v>0.88</v>
      </c>
      <c r="F16" s="17" t="n">
        <v>5</v>
      </c>
      <c r="G16" s="38" t="s">
        <v>593</v>
      </c>
      <c r="H16" s="17" t="n">
        <v>1</v>
      </c>
      <c r="I16" s="24" t="n">
        <f aca="false">D16*H16</f>
        <v>220</v>
      </c>
      <c r="J16" s="33" t="n">
        <f aca="false">I16/F16</f>
        <v>44</v>
      </c>
      <c r="K16" s="29" t="n">
        <f aca="false">RANK(J16,$J$5:$J$16)</f>
        <v>3</v>
      </c>
      <c r="L16" s="5" t="s">
        <v>594</v>
      </c>
      <c r="M16" s="10" t="s">
        <v>595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6"/>
    <col collapsed="false" customWidth="true" hidden="false" outlineLevel="0" max="4" min="3" style="0" width="13"/>
    <col collapsed="false" customWidth="true" hidden="false" outlineLevel="0" max="5" min="5" style="0" width="11"/>
    <col collapsed="false" customWidth="true" hidden="false" outlineLevel="0" max="6" min="6" style="0" width="60"/>
  </cols>
  <sheetData>
    <row r="1" customFormat="false" ht="17.35" hidden="false" customHeight="false" outlineLevel="0" collapsed="false">
      <c r="A1" s="1" t="s">
        <v>596</v>
      </c>
    </row>
    <row r="2" customFormat="false" ht="15" hidden="false" customHeight="false" outlineLevel="0" collapsed="false">
      <c r="A2" s="2" t="s">
        <v>597</v>
      </c>
    </row>
    <row r="4" customFormat="false" ht="30" hidden="false" customHeight="true" outlineLevel="0" collapsed="false">
      <c r="A4" s="8" t="s">
        <v>598</v>
      </c>
      <c r="B4" s="8" t="s">
        <v>599</v>
      </c>
      <c r="C4" s="8" t="s">
        <v>600</v>
      </c>
      <c r="D4" s="8" t="s">
        <v>601</v>
      </c>
      <c r="E4" s="8" t="s">
        <v>232</v>
      </c>
      <c r="F4" s="8" t="s">
        <v>602</v>
      </c>
    </row>
    <row r="5" customFormat="false" ht="30" hidden="false" customHeight="true" outlineLevel="0" collapsed="false">
      <c r="A5" s="3" t="s">
        <v>603</v>
      </c>
      <c r="B5" s="38" t="s">
        <v>604</v>
      </c>
      <c r="C5" s="13" t="n">
        <f aca="false">Inputs!$C$20</f>
        <v>0</v>
      </c>
      <c r="D5" s="17" t="n">
        <v>1</v>
      </c>
      <c r="E5" s="3" t="str">
        <f aca="false">IF(C5="","No data",IF(C5&gt;=D5,"Met","Not yet"))</f>
        <v>Not yet</v>
      </c>
      <c r="F5" s="10" t="s">
        <v>605</v>
      </c>
    </row>
    <row r="6" customFormat="false" ht="30" hidden="false" customHeight="true" outlineLevel="0" collapsed="false">
      <c r="A6" s="3" t="s">
        <v>606</v>
      </c>
      <c r="B6" s="38" t="s">
        <v>607</v>
      </c>
      <c r="C6" s="13" t="n">
        <f aca="false">Inputs!$C$16</f>
        <v>0</v>
      </c>
      <c r="D6" s="17" t="n">
        <v>25</v>
      </c>
      <c r="E6" s="3" t="str">
        <f aca="false">IF(C6="","No data",IF(C6&gt;=D6,"Met","Not yet"))</f>
        <v>Not yet</v>
      </c>
      <c r="F6" s="10" t="s">
        <v>608</v>
      </c>
    </row>
    <row r="7" customFormat="false" ht="30" hidden="false" customHeight="true" outlineLevel="0" collapsed="false">
      <c r="A7" s="3" t="s">
        <v>609</v>
      </c>
      <c r="B7" s="38" t="s">
        <v>610</v>
      </c>
      <c r="C7" s="13" t="n">
        <f aca="false">Inputs!$C$13</f>
        <v>278</v>
      </c>
      <c r="D7" s="13" t="n">
        <f aca="false">2*Inputs!$C$12</f>
        <v>260</v>
      </c>
      <c r="E7" s="3" t="str">
        <f aca="false">IF(C7="","No data",IF(C7&gt;=D7,"Met","Not yet"))</f>
        <v>Met</v>
      </c>
      <c r="F7" s="10" t="s">
        <v>611</v>
      </c>
    </row>
    <row r="8" customFormat="false" ht="30" hidden="false" customHeight="true" outlineLevel="0" collapsed="false">
      <c r="A8" s="3" t="s">
        <v>612</v>
      </c>
      <c r="B8" s="38" t="s">
        <v>613</v>
      </c>
      <c r="C8" s="23"/>
      <c r="D8" s="9" t="n">
        <f aca="false">3*Ads!$B$21</f>
        <v>0.609628</v>
      </c>
      <c r="E8" s="3" t="str">
        <f aca="false">IF(C8="","No data",IF(C8&lt;=D8,"Met","Not yet"))</f>
        <v>No data</v>
      </c>
      <c r="F8" s="10" t="s">
        <v>614</v>
      </c>
    </row>
    <row r="9" customFormat="false" ht="30" hidden="false" customHeight="true" outlineLevel="0" collapsed="false">
      <c r="A9" s="3" t="s">
        <v>615</v>
      </c>
      <c r="B9" s="38" t="s">
        <v>616</v>
      </c>
      <c r="C9" s="13" t="n">
        <f aca="false">Inputs!$C$17</f>
        <v>0</v>
      </c>
      <c r="D9" s="13" t="n">
        <f aca="false">Inputs!$C$33</f>
        <v>25</v>
      </c>
      <c r="E9" s="3" t="str">
        <f aca="false">IF(C9="","No data",IF(C9&gt;=D9,"Met","Not yet"))</f>
        <v>Not yet</v>
      </c>
      <c r="F9" s="10" t="s">
        <v>617</v>
      </c>
    </row>
    <row r="10" customFormat="false" ht="30" hidden="false" customHeight="true" outlineLevel="0" collapsed="false">
      <c r="A10" s="3" t="s">
        <v>615</v>
      </c>
      <c r="B10" s="38" t="s">
        <v>618</v>
      </c>
      <c r="C10" s="13" t="n">
        <f aca="false">Inputs!$C$17</f>
        <v>0</v>
      </c>
      <c r="D10" s="17" t="n">
        <v>50</v>
      </c>
      <c r="E10" s="3" t="str">
        <f aca="false">IF(C10="","No data",IF(C10&gt;=D10,"Met","Not yet"))</f>
        <v>Not yet</v>
      </c>
      <c r="F10" s="10" t="s">
        <v>619</v>
      </c>
    </row>
    <row r="11" customFormat="false" ht="30" hidden="false" customHeight="true" outlineLevel="0" collapsed="false">
      <c r="A11" s="3" t="s">
        <v>100</v>
      </c>
      <c r="B11" s="38" t="s">
        <v>620</v>
      </c>
      <c r="C11" s="13" t="n">
        <f aca="false">Inputs!$C$19</f>
        <v>0</v>
      </c>
      <c r="D11" s="17" t="n">
        <v>20</v>
      </c>
      <c r="E11" s="3" t="str">
        <f aca="false">IF(C11="","No data",IF(C11&gt;=D11,"Met","Not yet"))</f>
        <v>Not yet</v>
      </c>
      <c r="F11" s="10" t="s">
        <v>621</v>
      </c>
    </row>
    <row r="12" customFormat="false" ht="30" hidden="false" customHeight="true" outlineLevel="0" collapsed="false">
      <c r="A12" s="3" t="s">
        <v>490</v>
      </c>
      <c r="B12" s="38" t="s">
        <v>622</v>
      </c>
      <c r="C12" s="13" t="n">
        <f aca="false">Inputs!$C$9</f>
        <v>14</v>
      </c>
      <c r="D12" s="17" t="n">
        <v>1000</v>
      </c>
      <c r="E12" s="3" t="str">
        <f aca="false">IF(C12="","No data",IF(C12&gt;=D12,"Met","Not yet"))</f>
        <v>Not yet</v>
      </c>
      <c r="F12" s="10" t="s">
        <v>623</v>
      </c>
    </row>
    <row r="13" customFormat="false" ht="30" hidden="false" customHeight="true" outlineLevel="0" collapsed="false">
      <c r="A13" s="3" t="s">
        <v>624</v>
      </c>
      <c r="B13" s="38" t="s">
        <v>625</v>
      </c>
      <c r="C13" s="13" t="n">
        <f aca="false">Inputs!$C$12</f>
        <v>130</v>
      </c>
      <c r="D13" s="17" t="n">
        <v>1000</v>
      </c>
      <c r="E13" s="3" t="str">
        <f aca="false">IF(C13="","No data",IF(C13&gt;=D13,"Met","Not yet"))</f>
        <v>Not yet</v>
      </c>
      <c r="F13" s="10" t="s">
        <v>626</v>
      </c>
    </row>
    <row r="14" customFormat="false" ht="30" hidden="false" customHeight="true" outlineLevel="0" collapsed="false">
      <c r="A14" s="3" t="s">
        <v>624</v>
      </c>
      <c r="B14" s="38" t="s">
        <v>627</v>
      </c>
      <c r="C14" s="13" t="n">
        <f aca="false">Inputs!$C$12</f>
        <v>130</v>
      </c>
      <c r="D14" s="17" t="n">
        <v>400</v>
      </c>
      <c r="E14" s="3" t="str">
        <f aca="false">IF(C14="","No data",IF(C14&gt;=D14,"Met","Not yet"))</f>
        <v>Not yet</v>
      </c>
      <c r="F14" s="10" t="s">
        <v>628</v>
      </c>
    </row>
    <row r="15" customFormat="false" ht="30" hidden="false" customHeight="true" outlineLevel="0" collapsed="false">
      <c r="A15" s="3" t="s">
        <v>629</v>
      </c>
      <c r="B15" s="38" t="s">
        <v>630</v>
      </c>
      <c r="C15" s="13" t="n">
        <f aca="false">Inputs!$C$16+Inputs!$C$18</f>
        <v>0</v>
      </c>
      <c r="D15" s="17" t="n">
        <v>500</v>
      </c>
      <c r="E15" s="3" t="str">
        <f aca="false">IF(C15="","No data",IF(C15&gt;=D15,"Met","Not yet"))</f>
        <v>Not yet</v>
      </c>
      <c r="F15" s="10" t="s">
        <v>631</v>
      </c>
    </row>
    <row r="16" customFormat="false" ht="30" hidden="false" customHeight="true" outlineLevel="0" collapsed="false">
      <c r="A16" s="3" t="s">
        <v>98</v>
      </c>
      <c r="B16" s="38" t="s">
        <v>577</v>
      </c>
      <c r="C16" s="13" t="n">
        <f aca="false">Inputs!$C$18</f>
        <v>0</v>
      </c>
      <c r="D16" s="17" t="n">
        <v>1000</v>
      </c>
      <c r="E16" s="3" t="str">
        <f aca="false">IF(C16="","No data",IF(C16&gt;=D16,"Met","Not yet"))</f>
        <v>Not yet</v>
      </c>
      <c r="F16" s="10" t="s">
        <v>632</v>
      </c>
    </row>
    <row r="17" customFormat="false" ht="30" hidden="false" customHeight="true" outlineLevel="0" collapsed="false">
      <c r="A17" s="3" t="s">
        <v>629</v>
      </c>
      <c r="B17" s="38" t="s">
        <v>633</v>
      </c>
      <c r="C17" s="13" t="n">
        <f aca="false">Inputs!$C$16+Inputs!$C$18</f>
        <v>0</v>
      </c>
      <c r="D17" s="17" t="n">
        <v>1000</v>
      </c>
      <c r="E17" s="3" t="str">
        <f aca="false">IF(C17="","No data",IF(C17&gt;=D17,"Met","Not yet"))</f>
        <v>Not yet</v>
      </c>
      <c r="F17" s="10" t="s">
        <v>634</v>
      </c>
    </row>
    <row r="18" customFormat="false" ht="30" hidden="false" customHeight="true" outlineLevel="0" collapsed="false">
      <c r="A18" s="3" t="s">
        <v>635</v>
      </c>
      <c r="B18" s="38" t="s">
        <v>206</v>
      </c>
      <c r="C18" s="13" t="n">
        <f aca="false">Inputs!$C$18*0.3</f>
        <v>0</v>
      </c>
      <c r="D18" s="17" t="n">
        <v>300</v>
      </c>
      <c r="E18" s="3" t="str">
        <f aca="false">IF(C18="","No data",IF(C18&gt;=D18,"Met","Not yet"))</f>
        <v>Not yet</v>
      </c>
      <c r="F18" s="10" t="s">
        <v>636</v>
      </c>
    </row>
    <row r="19" customFormat="false" ht="30" hidden="false" customHeight="true" outlineLevel="0" collapsed="false">
      <c r="A19" s="3" t="s">
        <v>637</v>
      </c>
      <c r="B19" s="38" t="s">
        <v>638</v>
      </c>
      <c r="C19" s="19"/>
      <c r="D19" s="17" t="n">
        <v>2</v>
      </c>
      <c r="E19" s="3" t="str">
        <f aca="false">IF(C19="","No data",IF(C19&gt;=D19,"Met","Not yet"))</f>
        <v>No data</v>
      </c>
      <c r="F19" s="10" t="s">
        <v>639</v>
      </c>
    </row>
    <row r="21" customFormat="false" ht="15" hidden="false" customHeight="false" outlineLevel="0" collapsed="false">
      <c r="A21" s="3" t="s">
        <v>30</v>
      </c>
      <c r="C21" s="29" t="n">
        <f aca="false">COUNTIF(E5:E19,"Met")</f>
        <v>1</v>
      </c>
      <c r="D21" s="29" t="n">
        <f aca="false">ROWS(E5:E19)</f>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46"/>
  </cols>
  <sheetData>
    <row r="1" customFormat="false" ht="17.35" hidden="false" customHeight="false" outlineLevel="0" collapsed="false">
      <c r="A1" s="1" t="s">
        <v>640</v>
      </c>
    </row>
    <row r="3" customFormat="false" ht="30" hidden="false" customHeight="true" outlineLevel="0" collapsed="false">
      <c r="A3" s="8" t="s">
        <v>641</v>
      </c>
      <c r="B3" s="8" t="s">
        <v>642</v>
      </c>
      <c r="C3" s="8" t="s">
        <v>643</v>
      </c>
      <c r="D3" s="8" t="s">
        <v>644</v>
      </c>
    </row>
    <row r="4" customFormat="false" ht="45" hidden="false" customHeight="true" outlineLevel="0" collapsed="false">
      <c r="A4" s="39" t="s">
        <v>645</v>
      </c>
      <c r="B4" s="38" t="s">
        <v>646</v>
      </c>
      <c r="C4" s="38" t="s">
        <v>647</v>
      </c>
      <c r="D4" s="38" t="s">
        <v>648</v>
      </c>
    </row>
    <row r="5" customFormat="false" ht="45" hidden="false" customHeight="true" outlineLevel="0" collapsed="false">
      <c r="A5" s="39" t="s">
        <v>649</v>
      </c>
      <c r="B5" s="38" t="s">
        <v>650</v>
      </c>
      <c r="C5" s="38" t="s">
        <v>651</v>
      </c>
      <c r="D5" s="38" t="s">
        <v>652</v>
      </c>
    </row>
    <row r="6" customFormat="false" ht="45" hidden="false" customHeight="true" outlineLevel="0" collapsed="false">
      <c r="A6" s="39" t="s">
        <v>653</v>
      </c>
      <c r="B6" s="38" t="s">
        <v>654</v>
      </c>
      <c r="C6" s="38" t="s">
        <v>655</v>
      </c>
      <c r="D6" s="38" t="s">
        <v>656</v>
      </c>
    </row>
    <row r="7" customFormat="false" ht="45" hidden="false" customHeight="true" outlineLevel="0" collapsed="false">
      <c r="A7" s="39" t="s">
        <v>657</v>
      </c>
      <c r="B7" s="38" t="s">
        <v>658</v>
      </c>
      <c r="C7" s="38" t="s">
        <v>659</v>
      </c>
      <c r="D7" s="38" t="s">
        <v>660</v>
      </c>
    </row>
    <row r="8" customFormat="false" ht="45" hidden="false" customHeight="true" outlineLevel="0" collapsed="false">
      <c r="A8" s="39" t="s">
        <v>661</v>
      </c>
      <c r="B8" s="38" t="s">
        <v>662</v>
      </c>
      <c r="C8" s="38" t="s">
        <v>663</v>
      </c>
      <c r="D8" s="38" t="s">
        <v>664</v>
      </c>
    </row>
    <row r="9" customFormat="false" ht="45" hidden="false" customHeight="true" outlineLevel="0" collapsed="false">
      <c r="A9" s="39" t="s">
        <v>665</v>
      </c>
      <c r="B9" s="38" t="s">
        <v>666</v>
      </c>
      <c r="C9" s="38" t="s">
        <v>667</v>
      </c>
      <c r="D9" s="38" t="s">
        <v>668</v>
      </c>
    </row>
    <row r="10" customFormat="false" ht="45" hidden="false" customHeight="true" outlineLevel="0" collapsed="false">
      <c r="A10" s="39" t="s">
        <v>669</v>
      </c>
      <c r="B10" s="38" t="s">
        <v>670</v>
      </c>
      <c r="C10" s="38" t="s">
        <v>671</v>
      </c>
      <c r="D10" s="38" t="s">
        <v>672</v>
      </c>
    </row>
    <row r="11" customFormat="false" ht="45" hidden="false" customHeight="true" outlineLevel="0" collapsed="false">
      <c r="A11" s="39" t="s">
        <v>594</v>
      </c>
      <c r="B11" s="38" t="s">
        <v>673</v>
      </c>
      <c r="C11" s="38" t="s">
        <v>674</v>
      </c>
      <c r="D11" s="38" t="s">
        <v>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742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4"/>
    <col collapsed="false" customWidth="true" hidden="false" outlineLevel="0" max="3" min="3" style="0" width="70"/>
    <col collapsed="false" customWidth="true" hidden="false" outlineLevel="0" max="4" min="4" style="0" width="14"/>
  </cols>
  <sheetData>
    <row r="1" customFormat="false" ht="17.35" hidden="false" customHeight="false" outlineLevel="0" collapsed="false">
      <c r="A1" s="1" t="s">
        <v>676</v>
      </c>
    </row>
    <row r="3" customFormat="false" ht="30" hidden="false" customHeight="true" outlineLevel="0" collapsed="false">
      <c r="A3" s="8" t="s">
        <v>59</v>
      </c>
      <c r="B3" s="8" t="s">
        <v>677</v>
      </c>
      <c r="C3" s="8" t="s">
        <v>678</v>
      </c>
      <c r="D3" s="8" t="s">
        <v>232</v>
      </c>
    </row>
    <row r="4" customFormat="false" ht="31.5" hidden="false" customHeight="true" outlineLevel="0" collapsed="false">
      <c r="A4" s="39" t="s">
        <v>679</v>
      </c>
      <c r="B4" s="38" t="s">
        <v>680</v>
      </c>
      <c r="C4" s="38" t="s">
        <v>681</v>
      </c>
      <c r="D4" s="40" t="s">
        <v>682</v>
      </c>
    </row>
    <row r="5" customFormat="false" ht="31.5" hidden="false" customHeight="true" outlineLevel="0" collapsed="false">
      <c r="A5" s="39" t="s">
        <v>683</v>
      </c>
      <c r="B5" s="38" t="s">
        <v>684</v>
      </c>
      <c r="C5" s="38" t="s">
        <v>685</v>
      </c>
      <c r="D5" s="40" t="s">
        <v>686</v>
      </c>
    </row>
    <row r="6" customFormat="false" ht="31.5" hidden="false" customHeight="true" outlineLevel="0" collapsed="false">
      <c r="A6" s="39" t="s">
        <v>687</v>
      </c>
      <c r="B6" s="38" t="s">
        <v>684</v>
      </c>
      <c r="C6" s="38" t="s">
        <v>688</v>
      </c>
      <c r="D6" s="40" t="s">
        <v>686</v>
      </c>
    </row>
    <row r="7" customFormat="false" ht="31.5" hidden="false" customHeight="true" outlineLevel="0" collapsed="false">
      <c r="A7" s="39" t="s">
        <v>689</v>
      </c>
      <c r="B7" s="38" t="s">
        <v>690</v>
      </c>
      <c r="C7" s="38" t="s">
        <v>691</v>
      </c>
      <c r="D7" s="40" t="s">
        <v>686</v>
      </c>
    </row>
    <row r="8" customFormat="false" ht="31.5" hidden="false" customHeight="true" outlineLevel="0" collapsed="false">
      <c r="A8" s="39" t="s">
        <v>692</v>
      </c>
      <c r="B8" s="38" t="s">
        <v>693</v>
      </c>
      <c r="C8" s="38" t="s">
        <v>694</v>
      </c>
      <c r="D8" s="40" t="s">
        <v>686</v>
      </c>
    </row>
    <row r="9" customFormat="false" ht="31.5" hidden="false" customHeight="true" outlineLevel="0" collapsed="false">
      <c r="A9" s="39" t="s">
        <v>695</v>
      </c>
      <c r="B9" s="38" t="s">
        <v>696</v>
      </c>
      <c r="C9" s="38" t="s">
        <v>697</v>
      </c>
      <c r="D9" s="40" t="s">
        <v>698</v>
      </c>
    </row>
    <row r="10" customFormat="false" ht="31.5" hidden="false" customHeight="true" outlineLevel="0" collapsed="false">
      <c r="A10" s="39" t="s">
        <v>699</v>
      </c>
      <c r="B10" s="38" t="s">
        <v>700</v>
      </c>
      <c r="C10" s="38" t="s">
        <v>701</v>
      </c>
      <c r="D10" s="40" t="s">
        <v>698</v>
      </c>
    </row>
    <row r="11" customFormat="false" ht="31.5" hidden="false" customHeight="true" outlineLevel="0" collapsed="false">
      <c r="A11" s="39" t="s">
        <v>702</v>
      </c>
      <c r="B11" s="38" t="s">
        <v>703</v>
      </c>
      <c r="C11" s="38" t="s">
        <v>704</v>
      </c>
      <c r="D11" s="40" t="s">
        <v>705</v>
      </c>
    </row>
    <row r="12" customFormat="false" ht="31.5" hidden="false" customHeight="true" outlineLevel="0" collapsed="false">
      <c r="A12" s="39" t="s">
        <v>706</v>
      </c>
      <c r="B12" s="38" t="s">
        <v>707</v>
      </c>
      <c r="C12" s="38" t="s">
        <v>708</v>
      </c>
      <c r="D12" s="40" t="s">
        <v>709</v>
      </c>
    </row>
    <row r="13" customFormat="false" ht="31.5" hidden="false" customHeight="true" outlineLevel="0" collapsed="false">
      <c r="A13" s="39" t="s">
        <v>710</v>
      </c>
      <c r="B13" s="38" t="s">
        <v>711</v>
      </c>
      <c r="C13" s="38" t="s">
        <v>712</v>
      </c>
      <c r="D13" s="40" t="s">
        <v>713</v>
      </c>
    </row>
    <row r="14" customFormat="false" ht="31.5" hidden="false" customHeight="true" outlineLevel="0" collapsed="false">
      <c r="A14" s="39" t="s">
        <v>714</v>
      </c>
      <c r="B14" s="38" t="s">
        <v>49</v>
      </c>
      <c r="C14" s="38" t="s">
        <v>715</v>
      </c>
      <c r="D14" s="40" t="s">
        <v>705</v>
      </c>
    </row>
    <row r="15" customFormat="false" ht="31.5" hidden="false" customHeight="true" outlineLevel="0" collapsed="false">
      <c r="A15" s="39" t="s">
        <v>716</v>
      </c>
      <c r="B15" s="38" t="s">
        <v>717</v>
      </c>
      <c r="C15" s="38" t="s">
        <v>718</v>
      </c>
      <c r="D15" s="40" t="s">
        <v>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4049"/>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0"/>
  </cols>
  <sheetData>
    <row r="1" customFormat="false" ht="17.35" hidden="false" customHeight="false" outlineLevel="0" collapsed="false">
      <c r="A1" s="1" t="s">
        <v>720</v>
      </c>
    </row>
    <row r="3" customFormat="false" ht="15" hidden="false" customHeight="false" outlineLevel="0" collapsed="false">
      <c r="A3" s="3" t="s">
        <v>721</v>
      </c>
      <c r="B3" s="38" t="s">
        <v>722</v>
      </c>
    </row>
    <row r="4" customFormat="false" ht="26.85" hidden="false" customHeight="false" outlineLevel="0" collapsed="false">
      <c r="A4" s="3" t="s">
        <v>723</v>
      </c>
      <c r="B4" s="38" t="s">
        <v>724</v>
      </c>
    </row>
    <row r="5" customFormat="false" ht="26.85" hidden="false" customHeight="false" outlineLevel="0" collapsed="false">
      <c r="A5" s="3" t="s">
        <v>725</v>
      </c>
      <c r="B5" s="38" t="s">
        <v>726</v>
      </c>
    </row>
    <row r="6" customFormat="false" ht="26.85" hidden="false" customHeight="false" outlineLevel="0" collapsed="false">
      <c r="A6" s="3" t="s">
        <v>727</v>
      </c>
      <c r="B6" s="38" t="s">
        <v>728</v>
      </c>
    </row>
    <row r="7" customFormat="false" ht="26.85" hidden="false" customHeight="false" outlineLevel="0" collapsed="false">
      <c r="A7" s="3" t="s">
        <v>729</v>
      </c>
      <c r="B7" s="38" t="s">
        <v>730</v>
      </c>
    </row>
    <row r="8" customFormat="false" ht="26.85" hidden="false" customHeight="false" outlineLevel="0" collapsed="false">
      <c r="A8" s="3" t="s">
        <v>731</v>
      </c>
      <c r="B8" s="38" t="s">
        <v>732</v>
      </c>
    </row>
    <row r="9" customFormat="false" ht="15" hidden="false" customHeight="false" outlineLevel="0" collapsed="false">
      <c r="A9" s="3" t="s">
        <v>733</v>
      </c>
      <c r="B9" s="38" t="s">
        <v>734</v>
      </c>
    </row>
    <row r="10" customFormat="false" ht="15" hidden="false" customHeight="false" outlineLevel="0" collapsed="false">
      <c r="A10" s="3" t="s">
        <v>735</v>
      </c>
      <c r="B10" s="38" t="s">
        <v>736</v>
      </c>
    </row>
    <row r="11" customFormat="false" ht="15" hidden="false" customHeight="false" outlineLevel="0" collapsed="false">
      <c r="A11" s="3" t="s">
        <v>737</v>
      </c>
      <c r="B11" s="38" t="s">
        <v>738</v>
      </c>
    </row>
    <row r="12" customFormat="false" ht="15" hidden="false" customHeight="false" outlineLevel="0" collapsed="false">
      <c r="A12" s="3" t="s">
        <v>739</v>
      </c>
      <c r="B12" s="38" t="s">
        <v>740</v>
      </c>
    </row>
    <row r="13" customFormat="false" ht="26.85" hidden="false" customHeight="false" outlineLevel="0" collapsed="false">
      <c r="A13" s="3" t="s">
        <v>741</v>
      </c>
      <c r="B13" s="38" t="s">
        <v>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2026-10-21T23:10:46Z</dcterms:created>
  <dc:creator>openpyxl</dc:creator>
  <dc:description/>
  <dc:language>en-US</dc:language>
  <cp:lastModifiedBy/>
  <dcterms:modified xsi:type="dcterms:W3CDTF">2026-10-21T23:10:46Z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